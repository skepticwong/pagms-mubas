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230AD85-87A3-4B6F-9E78-5DA054141D3D}" xr6:coauthVersionLast="47" xr6:coauthVersionMax="47" xr10:uidLastSave="{00000000-0000-0000-0000-000000000000}"/>
  <bookViews>
    <workbookView xWindow="-105" yWindow="0" windowWidth="14610" windowHeight="15585" activeTab="2" xr2:uid="{00000000-000D-0000-FFFF-FFFF00000000}"/>
  </bookViews>
  <sheets>
    <sheet name="Dashboard" sheetId="1" r:id="rId1"/>
    <sheet name="Orders &amp; Payments" sheetId="2" r:id="rId2"/>
    <sheet name="Stock Received" sheetId="3" r:id="rId3"/>
    <sheet name="Stock Tracker" sheetId="4" r:id="rId4"/>
    <sheet name="Arrangement Tracker" sheetId="5" r:id="rId5"/>
    <sheet name="Losses &amp; Damages" sheetId="6" r:id="rId6"/>
    <sheet name="Bank &amp; MoMo" sheetId="7" r:id="rId7"/>
    <sheet name="Reference Lists" sheetId="8" r:id="rId8"/>
  </sheets>
  <externalReferences>
    <externalReference r:id="rId9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1" i="7" l="1"/>
  <c r="C501" i="7"/>
  <c r="B501" i="7"/>
  <c r="A501" i="7"/>
  <c r="D500" i="7"/>
  <c r="C500" i="7"/>
  <c r="B500" i="7"/>
  <c r="A500" i="7"/>
  <c r="D499" i="7"/>
  <c r="C499" i="7"/>
  <c r="B499" i="7"/>
  <c r="A499" i="7"/>
  <c r="D498" i="7"/>
  <c r="C498" i="7"/>
  <c r="B498" i="7"/>
  <c r="A498" i="7"/>
  <c r="D497" i="7"/>
  <c r="C497" i="7"/>
  <c r="B497" i="7"/>
  <c r="A497" i="7"/>
  <c r="D496" i="7"/>
  <c r="C496" i="7"/>
  <c r="B496" i="7"/>
  <c r="A496" i="7"/>
  <c r="D495" i="7"/>
  <c r="C495" i="7"/>
  <c r="B495" i="7"/>
  <c r="A495" i="7"/>
  <c r="D494" i="7"/>
  <c r="C494" i="7"/>
  <c r="B494" i="7"/>
  <c r="A494" i="7"/>
  <c r="D493" i="7"/>
  <c r="C493" i="7"/>
  <c r="B493" i="7"/>
  <c r="A493" i="7"/>
  <c r="D492" i="7"/>
  <c r="C492" i="7"/>
  <c r="B492" i="7"/>
  <c r="A492" i="7"/>
  <c r="D491" i="7"/>
  <c r="C491" i="7"/>
  <c r="B491" i="7"/>
  <c r="A491" i="7"/>
  <c r="D490" i="7"/>
  <c r="C490" i="7"/>
  <c r="B490" i="7"/>
  <c r="A490" i="7"/>
  <c r="D489" i="7"/>
  <c r="C489" i="7"/>
  <c r="B489" i="7"/>
  <c r="A489" i="7"/>
  <c r="D488" i="7"/>
  <c r="C488" i="7"/>
  <c r="B488" i="7"/>
  <c r="A488" i="7"/>
  <c r="D487" i="7"/>
  <c r="C487" i="7"/>
  <c r="B487" i="7"/>
  <c r="A487" i="7"/>
  <c r="D486" i="7"/>
  <c r="C486" i="7"/>
  <c r="B486" i="7"/>
  <c r="A486" i="7"/>
  <c r="D485" i="7"/>
  <c r="C485" i="7"/>
  <c r="B485" i="7"/>
  <c r="A485" i="7"/>
  <c r="D484" i="7"/>
  <c r="C484" i="7"/>
  <c r="B484" i="7"/>
  <c r="A484" i="7"/>
  <c r="D483" i="7"/>
  <c r="C483" i="7"/>
  <c r="B483" i="7"/>
  <c r="A483" i="7"/>
  <c r="D482" i="7"/>
  <c r="C482" i="7"/>
  <c r="B482" i="7"/>
  <c r="A482" i="7"/>
  <c r="D481" i="7"/>
  <c r="C481" i="7"/>
  <c r="B481" i="7"/>
  <c r="A481" i="7"/>
  <c r="D480" i="7"/>
  <c r="C480" i="7"/>
  <c r="B480" i="7"/>
  <c r="A480" i="7"/>
  <c r="D479" i="7"/>
  <c r="C479" i="7"/>
  <c r="B479" i="7"/>
  <c r="A479" i="7"/>
  <c r="D478" i="7"/>
  <c r="C478" i="7"/>
  <c r="B478" i="7"/>
  <c r="A478" i="7"/>
  <c r="D477" i="7"/>
  <c r="C477" i="7"/>
  <c r="B477" i="7"/>
  <c r="A477" i="7"/>
  <c r="D476" i="7"/>
  <c r="C476" i="7"/>
  <c r="B476" i="7"/>
  <c r="A476" i="7"/>
  <c r="D475" i="7"/>
  <c r="C475" i="7"/>
  <c r="B475" i="7"/>
  <c r="A475" i="7"/>
  <c r="D474" i="7"/>
  <c r="C474" i="7"/>
  <c r="B474" i="7"/>
  <c r="A474" i="7"/>
  <c r="D473" i="7"/>
  <c r="C473" i="7"/>
  <c r="B473" i="7"/>
  <c r="A473" i="7"/>
  <c r="D472" i="7"/>
  <c r="C472" i="7"/>
  <c r="B472" i="7"/>
  <c r="A472" i="7"/>
  <c r="D471" i="7"/>
  <c r="C471" i="7"/>
  <c r="B471" i="7"/>
  <c r="A471" i="7"/>
  <c r="D470" i="7"/>
  <c r="C470" i="7"/>
  <c r="B470" i="7"/>
  <c r="A470" i="7"/>
  <c r="D469" i="7"/>
  <c r="C469" i="7"/>
  <c r="B469" i="7"/>
  <c r="A469" i="7"/>
  <c r="D468" i="7"/>
  <c r="C468" i="7"/>
  <c r="B468" i="7"/>
  <c r="A468" i="7"/>
  <c r="D467" i="7"/>
  <c r="C467" i="7"/>
  <c r="B467" i="7"/>
  <c r="A467" i="7"/>
  <c r="D466" i="7"/>
  <c r="C466" i="7"/>
  <c r="B466" i="7"/>
  <c r="A466" i="7"/>
  <c r="D465" i="7"/>
  <c r="C465" i="7"/>
  <c r="B465" i="7"/>
  <c r="A465" i="7"/>
  <c r="D464" i="7"/>
  <c r="C464" i="7"/>
  <c r="B464" i="7"/>
  <c r="A464" i="7"/>
  <c r="D463" i="7"/>
  <c r="C463" i="7"/>
  <c r="B463" i="7"/>
  <c r="A463" i="7"/>
  <c r="D462" i="7"/>
  <c r="C462" i="7"/>
  <c r="B462" i="7"/>
  <c r="A462" i="7"/>
  <c r="D461" i="7"/>
  <c r="C461" i="7"/>
  <c r="B461" i="7"/>
  <c r="A461" i="7"/>
  <c r="D460" i="7"/>
  <c r="C460" i="7"/>
  <c r="B460" i="7"/>
  <c r="A460" i="7"/>
  <c r="D459" i="7"/>
  <c r="C459" i="7"/>
  <c r="B459" i="7"/>
  <c r="A459" i="7"/>
  <c r="D458" i="7"/>
  <c r="C458" i="7"/>
  <c r="B458" i="7"/>
  <c r="A458" i="7"/>
  <c r="D457" i="7"/>
  <c r="C457" i="7"/>
  <c r="B457" i="7"/>
  <c r="A457" i="7"/>
  <c r="D456" i="7"/>
  <c r="C456" i="7"/>
  <c r="B456" i="7"/>
  <c r="A456" i="7"/>
  <c r="D455" i="7"/>
  <c r="C455" i="7"/>
  <c r="B455" i="7"/>
  <c r="A455" i="7"/>
  <c r="D454" i="7"/>
  <c r="C454" i="7"/>
  <c r="B454" i="7"/>
  <c r="A454" i="7"/>
  <c r="D453" i="7"/>
  <c r="C453" i="7"/>
  <c r="B453" i="7"/>
  <c r="A453" i="7"/>
  <c r="D452" i="7"/>
  <c r="C452" i="7"/>
  <c r="B452" i="7"/>
  <c r="A452" i="7"/>
  <c r="D451" i="7"/>
  <c r="C451" i="7"/>
  <c r="B451" i="7"/>
  <c r="A451" i="7"/>
  <c r="D450" i="7"/>
  <c r="C450" i="7"/>
  <c r="B450" i="7"/>
  <c r="A450" i="7"/>
  <c r="D449" i="7"/>
  <c r="C449" i="7"/>
  <c r="B449" i="7"/>
  <c r="A449" i="7"/>
  <c r="D448" i="7"/>
  <c r="C448" i="7"/>
  <c r="B448" i="7"/>
  <c r="A448" i="7"/>
  <c r="D447" i="7"/>
  <c r="C447" i="7"/>
  <c r="B447" i="7"/>
  <c r="A447" i="7"/>
  <c r="D446" i="7"/>
  <c r="C446" i="7"/>
  <c r="B446" i="7"/>
  <c r="A446" i="7"/>
  <c r="D445" i="7"/>
  <c r="C445" i="7"/>
  <c r="B445" i="7"/>
  <c r="A445" i="7"/>
  <c r="D444" i="7"/>
  <c r="C444" i="7"/>
  <c r="B444" i="7"/>
  <c r="A444" i="7"/>
  <c r="D443" i="7"/>
  <c r="C443" i="7"/>
  <c r="B443" i="7"/>
  <c r="A443" i="7"/>
  <c r="D442" i="7"/>
  <c r="C442" i="7"/>
  <c r="B442" i="7"/>
  <c r="A442" i="7"/>
  <c r="D441" i="7"/>
  <c r="C441" i="7"/>
  <c r="B441" i="7"/>
  <c r="A441" i="7"/>
  <c r="D440" i="7"/>
  <c r="C440" i="7"/>
  <c r="B440" i="7"/>
  <c r="A440" i="7"/>
  <c r="D439" i="7"/>
  <c r="C439" i="7"/>
  <c r="B439" i="7"/>
  <c r="A439" i="7"/>
  <c r="D438" i="7"/>
  <c r="C438" i="7"/>
  <c r="B438" i="7"/>
  <c r="A438" i="7"/>
  <c r="D437" i="7"/>
  <c r="C437" i="7"/>
  <c r="B437" i="7"/>
  <c r="A437" i="7"/>
  <c r="D436" i="7"/>
  <c r="C436" i="7"/>
  <c r="B436" i="7"/>
  <c r="A436" i="7"/>
  <c r="D435" i="7"/>
  <c r="C435" i="7"/>
  <c r="B435" i="7"/>
  <c r="A435" i="7"/>
  <c r="D434" i="7"/>
  <c r="C434" i="7"/>
  <c r="B434" i="7"/>
  <c r="A434" i="7"/>
  <c r="D433" i="7"/>
  <c r="C433" i="7"/>
  <c r="B433" i="7"/>
  <c r="A433" i="7"/>
  <c r="D432" i="7"/>
  <c r="C432" i="7"/>
  <c r="B432" i="7"/>
  <c r="A432" i="7"/>
  <c r="D431" i="7"/>
  <c r="C431" i="7"/>
  <c r="B431" i="7"/>
  <c r="A431" i="7"/>
  <c r="D430" i="7"/>
  <c r="C430" i="7"/>
  <c r="B430" i="7"/>
  <c r="A430" i="7"/>
  <c r="D429" i="7"/>
  <c r="C429" i="7"/>
  <c r="B429" i="7"/>
  <c r="A429" i="7"/>
  <c r="D428" i="7"/>
  <c r="C428" i="7"/>
  <c r="B428" i="7"/>
  <c r="A428" i="7"/>
  <c r="D427" i="7"/>
  <c r="C427" i="7"/>
  <c r="B427" i="7"/>
  <c r="A427" i="7"/>
  <c r="D426" i="7"/>
  <c r="C426" i="7"/>
  <c r="B426" i="7"/>
  <c r="A426" i="7"/>
  <c r="D425" i="7"/>
  <c r="C425" i="7"/>
  <c r="B425" i="7"/>
  <c r="A425" i="7"/>
  <c r="D424" i="7"/>
  <c r="C424" i="7"/>
  <c r="B424" i="7"/>
  <c r="A424" i="7"/>
  <c r="D423" i="7"/>
  <c r="C423" i="7"/>
  <c r="B423" i="7"/>
  <c r="A423" i="7"/>
  <c r="D422" i="7"/>
  <c r="C422" i="7"/>
  <c r="B422" i="7"/>
  <c r="A422" i="7"/>
  <c r="D421" i="7"/>
  <c r="C421" i="7"/>
  <c r="B421" i="7"/>
  <c r="A421" i="7"/>
  <c r="D420" i="7"/>
  <c r="C420" i="7"/>
  <c r="B420" i="7"/>
  <c r="A420" i="7"/>
  <c r="D419" i="7"/>
  <c r="C419" i="7"/>
  <c r="B419" i="7"/>
  <c r="A419" i="7"/>
  <c r="D418" i="7"/>
  <c r="C418" i="7"/>
  <c r="B418" i="7"/>
  <c r="A418" i="7"/>
  <c r="D417" i="7"/>
  <c r="C417" i="7"/>
  <c r="B417" i="7"/>
  <c r="A417" i="7"/>
  <c r="D416" i="7"/>
  <c r="C416" i="7"/>
  <c r="B416" i="7"/>
  <c r="A416" i="7"/>
  <c r="D415" i="7"/>
  <c r="C415" i="7"/>
  <c r="B415" i="7"/>
  <c r="A415" i="7"/>
  <c r="D414" i="7"/>
  <c r="C414" i="7"/>
  <c r="B414" i="7"/>
  <c r="A414" i="7"/>
  <c r="D413" i="7"/>
  <c r="C413" i="7"/>
  <c r="B413" i="7"/>
  <c r="A413" i="7"/>
  <c r="D412" i="7"/>
  <c r="C412" i="7"/>
  <c r="B412" i="7"/>
  <c r="A412" i="7"/>
  <c r="D411" i="7"/>
  <c r="C411" i="7"/>
  <c r="B411" i="7"/>
  <c r="A411" i="7"/>
  <c r="D410" i="7"/>
  <c r="C410" i="7"/>
  <c r="B410" i="7"/>
  <c r="A410" i="7"/>
  <c r="D409" i="7"/>
  <c r="C409" i="7"/>
  <c r="B409" i="7"/>
  <c r="A409" i="7"/>
  <c r="D408" i="7"/>
  <c r="C408" i="7"/>
  <c r="B408" i="7"/>
  <c r="A408" i="7"/>
  <c r="D407" i="7"/>
  <c r="C407" i="7"/>
  <c r="B407" i="7"/>
  <c r="A407" i="7"/>
  <c r="D406" i="7"/>
  <c r="C406" i="7"/>
  <c r="B406" i="7"/>
  <c r="A406" i="7"/>
  <c r="D405" i="7"/>
  <c r="C405" i="7"/>
  <c r="B405" i="7"/>
  <c r="A405" i="7"/>
  <c r="D404" i="7"/>
  <c r="C404" i="7"/>
  <c r="B404" i="7"/>
  <c r="A404" i="7"/>
  <c r="D403" i="7"/>
  <c r="C403" i="7"/>
  <c r="B403" i="7"/>
  <c r="A403" i="7"/>
  <c r="D402" i="7"/>
  <c r="C402" i="7"/>
  <c r="B402" i="7"/>
  <c r="A402" i="7"/>
  <c r="D401" i="7"/>
  <c r="C401" i="7"/>
  <c r="B401" i="7"/>
  <c r="A401" i="7"/>
  <c r="D400" i="7"/>
  <c r="C400" i="7"/>
  <c r="B400" i="7"/>
  <c r="A400" i="7"/>
  <c r="D399" i="7"/>
  <c r="C399" i="7"/>
  <c r="B399" i="7"/>
  <c r="A399" i="7"/>
  <c r="D398" i="7"/>
  <c r="C398" i="7"/>
  <c r="B398" i="7"/>
  <c r="A398" i="7"/>
  <c r="D397" i="7"/>
  <c r="C397" i="7"/>
  <c r="B397" i="7"/>
  <c r="A397" i="7"/>
  <c r="D396" i="7"/>
  <c r="C396" i="7"/>
  <c r="B396" i="7"/>
  <c r="A396" i="7"/>
  <c r="D395" i="7"/>
  <c r="C395" i="7"/>
  <c r="B395" i="7"/>
  <c r="A395" i="7"/>
  <c r="D394" i="7"/>
  <c r="C394" i="7"/>
  <c r="B394" i="7"/>
  <c r="A394" i="7"/>
  <c r="D393" i="7"/>
  <c r="C393" i="7"/>
  <c r="B393" i="7"/>
  <c r="A393" i="7"/>
  <c r="D392" i="7"/>
  <c r="C392" i="7"/>
  <c r="B392" i="7"/>
  <c r="A392" i="7"/>
  <c r="D391" i="7"/>
  <c r="C391" i="7"/>
  <c r="B391" i="7"/>
  <c r="A391" i="7"/>
  <c r="D390" i="7"/>
  <c r="C390" i="7"/>
  <c r="B390" i="7"/>
  <c r="A390" i="7"/>
  <c r="D389" i="7"/>
  <c r="C389" i="7"/>
  <c r="B389" i="7"/>
  <c r="A389" i="7"/>
  <c r="D388" i="7"/>
  <c r="C388" i="7"/>
  <c r="B388" i="7"/>
  <c r="A388" i="7"/>
  <c r="D387" i="7"/>
  <c r="C387" i="7"/>
  <c r="B387" i="7"/>
  <c r="A387" i="7"/>
  <c r="D386" i="7"/>
  <c r="C386" i="7"/>
  <c r="B386" i="7"/>
  <c r="A386" i="7"/>
  <c r="D385" i="7"/>
  <c r="C385" i="7"/>
  <c r="B385" i="7"/>
  <c r="A385" i="7"/>
  <c r="D384" i="7"/>
  <c r="C384" i="7"/>
  <c r="B384" i="7"/>
  <c r="A384" i="7"/>
  <c r="D383" i="7"/>
  <c r="C383" i="7"/>
  <c r="B383" i="7"/>
  <c r="A383" i="7"/>
  <c r="D382" i="7"/>
  <c r="C382" i="7"/>
  <c r="B382" i="7"/>
  <c r="A382" i="7"/>
  <c r="D381" i="7"/>
  <c r="C381" i="7"/>
  <c r="B381" i="7"/>
  <c r="A381" i="7"/>
  <c r="D380" i="7"/>
  <c r="C380" i="7"/>
  <c r="B380" i="7"/>
  <c r="A380" i="7"/>
  <c r="D379" i="7"/>
  <c r="C379" i="7"/>
  <c r="B379" i="7"/>
  <c r="A379" i="7"/>
  <c r="D378" i="7"/>
  <c r="C378" i="7"/>
  <c r="B378" i="7"/>
  <c r="A378" i="7"/>
  <c r="D377" i="7"/>
  <c r="C377" i="7"/>
  <c r="B377" i="7"/>
  <c r="A377" i="7"/>
  <c r="D376" i="7"/>
  <c r="C376" i="7"/>
  <c r="B376" i="7"/>
  <c r="A376" i="7"/>
  <c r="D375" i="7"/>
  <c r="C375" i="7"/>
  <c r="B375" i="7"/>
  <c r="A375" i="7"/>
  <c r="D374" i="7"/>
  <c r="C374" i="7"/>
  <c r="B374" i="7"/>
  <c r="A374" i="7"/>
  <c r="D373" i="7"/>
  <c r="C373" i="7"/>
  <c r="B373" i="7"/>
  <c r="A373" i="7"/>
  <c r="D372" i="7"/>
  <c r="C372" i="7"/>
  <c r="B372" i="7"/>
  <c r="A372" i="7"/>
  <c r="D371" i="7"/>
  <c r="C371" i="7"/>
  <c r="B371" i="7"/>
  <c r="A371" i="7"/>
  <c r="D370" i="7"/>
  <c r="C370" i="7"/>
  <c r="B370" i="7"/>
  <c r="A370" i="7"/>
  <c r="D369" i="7"/>
  <c r="C369" i="7"/>
  <c r="B369" i="7"/>
  <c r="A369" i="7"/>
  <c r="D368" i="7"/>
  <c r="C368" i="7"/>
  <c r="B368" i="7"/>
  <c r="A368" i="7"/>
  <c r="D367" i="7"/>
  <c r="C367" i="7"/>
  <c r="B367" i="7"/>
  <c r="A367" i="7"/>
  <c r="D366" i="7"/>
  <c r="C366" i="7"/>
  <c r="B366" i="7"/>
  <c r="A366" i="7"/>
  <c r="D365" i="7"/>
  <c r="C365" i="7"/>
  <c r="B365" i="7"/>
  <c r="A365" i="7"/>
  <c r="D364" i="7"/>
  <c r="C364" i="7"/>
  <c r="B364" i="7"/>
  <c r="A364" i="7"/>
  <c r="D363" i="7"/>
  <c r="C363" i="7"/>
  <c r="B363" i="7"/>
  <c r="A363" i="7"/>
  <c r="D362" i="7"/>
  <c r="C362" i="7"/>
  <c r="B362" i="7"/>
  <c r="A362" i="7"/>
  <c r="D361" i="7"/>
  <c r="C361" i="7"/>
  <c r="B361" i="7"/>
  <c r="A361" i="7"/>
  <c r="D360" i="7"/>
  <c r="C360" i="7"/>
  <c r="B360" i="7"/>
  <c r="A360" i="7"/>
  <c r="D359" i="7"/>
  <c r="C359" i="7"/>
  <c r="B359" i="7"/>
  <c r="A359" i="7"/>
  <c r="D358" i="7"/>
  <c r="C358" i="7"/>
  <c r="B358" i="7"/>
  <c r="A358" i="7"/>
  <c r="D357" i="7"/>
  <c r="C357" i="7"/>
  <c r="B357" i="7"/>
  <c r="A357" i="7"/>
  <c r="D356" i="7"/>
  <c r="C356" i="7"/>
  <c r="B356" i="7"/>
  <c r="A356" i="7"/>
  <c r="D355" i="7"/>
  <c r="C355" i="7"/>
  <c r="B355" i="7"/>
  <c r="A355" i="7"/>
  <c r="D354" i="7"/>
  <c r="C354" i="7"/>
  <c r="B354" i="7"/>
  <c r="A354" i="7"/>
  <c r="D353" i="7"/>
  <c r="C353" i="7"/>
  <c r="B353" i="7"/>
  <c r="A353" i="7"/>
  <c r="D352" i="7"/>
  <c r="C352" i="7"/>
  <c r="B352" i="7"/>
  <c r="A352" i="7"/>
  <c r="D351" i="7"/>
  <c r="C351" i="7"/>
  <c r="B351" i="7"/>
  <c r="A351" i="7"/>
  <c r="D350" i="7"/>
  <c r="C350" i="7"/>
  <c r="B350" i="7"/>
  <c r="A350" i="7"/>
  <c r="D349" i="7"/>
  <c r="C349" i="7"/>
  <c r="B349" i="7"/>
  <c r="A349" i="7"/>
  <c r="D348" i="7"/>
  <c r="C348" i="7"/>
  <c r="B348" i="7"/>
  <c r="A348" i="7"/>
  <c r="D347" i="7"/>
  <c r="C347" i="7"/>
  <c r="B347" i="7"/>
  <c r="A347" i="7"/>
  <c r="D346" i="7"/>
  <c r="C346" i="7"/>
  <c r="B346" i="7"/>
  <c r="A346" i="7"/>
  <c r="D345" i="7"/>
  <c r="C345" i="7"/>
  <c r="B345" i="7"/>
  <c r="A345" i="7"/>
  <c r="D344" i="7"/>
  <c r="C344" i="7"/>
  <c r="B344" i="7"/>
  <c r="A344" i="7"/>
  <c r="D343" i="7"/>
  <c r="C343" i="7"/>
  <c r="B343" i="7"/>
  <c r="A343" i="7"/>
  <c r="D342" i="7"/>
  <c r="C342" i="7"/>
  <c r="B342" i="7"/>
  <c r="A342" i="7"/>
  <c r="D341" i="7"/>
  <c r="C341" i="7"/>
  <c r="B341" i="7"/>
  <c r="A341" i="7"/>
  <c r="D340" i="7"/>
  <c r="C340" i="7"/>
  <c r="B340" i="7"/>
  <c r="A340" i="7"/>
  <c r="D339" i="7"/>
  <c r="C339" i="7"/>
  <c r="B339" i="7"/>
  <c r="A339" i="7"/>
  <c r="D338" i="7"/>
  <c r="C338" i="7"/>
  <c r="B338" i="7"/>
  <c r="A338" i="7"/>
  <c r="D337" i="7"/>
  <c r="C337" i="7"/>
  <c r="B337" i="7"/>
  <c r="A337" i="7"/>
  <c r="D336" i="7"/>
  <c r="C336" i="7"/>
  <c r="B336" i="7"/>
  <c r="A336" i="7"/>
  <c r="D335" i="7"/>
  <c r="C335" i="7"/>
  <c r="B335" i="7"/>
  <c r="A335" i="7"/>
  <c r="D334" i="7"/>
  <c r="C334" i="7"/>
  <c r="B334" i="7"/>
  <c r="A334" i="7"/>
  <c r="D333" i="7"/>
  <c r="C333" i="7"/>
  <c r="B333" i="7"/>
  <c r="A333" i="7"/>
  <c r="D332" i="7"/>
  <c r="C332" i="7"/>
  <c r="B332" i="7"/>
  <c r="A332" i="7"/>
  <c r="D331" i="7"/>
  <c r="C331" i="7"/>
  <c r="B331" i="7"/>
  <c r="A331" i="7"/>
  <c r="D330" i="7"/>
  <c r="C330" i="7"/>
  <c r="B330" i="7"/>
  <c r="A330" i="7"/>
  <c r="D329" i="7"/>
  <c r="C329" i="7"/>
  <c r="B329" i="7"/>
  <c r="A329" i="7"/>
  <c r="D328" i="7"/>
  <c r="C328" i="7"/>
  <c r="B328" i="7"/>
  <c r="A328" i="7"/>
  <c r="D327" i="7"/>
  <c r="C327" i="7"/>
  <c r="B327" i="7"/>
  <c r="A327" i="7"/>
  <c r="D326" i="7"/>
  <c r="C326" i="7"/>
  <c r="B326" i="7"/>
  <c r="A326" i="7"/>
  <c r="D325" i="7"/>
  <c r="C325" i="7"/>
  <c r="B325" i="7"/>
  <c r="A325" i="7"/>
  <c r="D324" i="7"/>
  <c r="C324" i="7"/>
  <c r="B324" i="7"/>
  <c r="A324" i="7"/>
  <c r="D323" i="7"/>
  <c r="C323" i="7"/>
  <c r="B323" i="7"/>
  <c r="A323" i="7"/>
  <c r="D322" i="7"/>
  <c r="C322" i="7"/>
  <c r="B322" i="7"/>
  <c r="A322" i="7"/>
  <c r="D321" i="7"/>
  <c r="C321" i="7"/>
  <c r="B321" i="7"/>
  <c r="A321" i="7"/>
  <c r="D320" i="7"/>
  <c r="C320" i="7"/>
  <c r="B320" i="7"/>
  <c r="A320" i="7"/>
  <c r="D319" i="7"/>
  <c r="C319" i="7"/>
  <c r="B319" i="7"/>
  <c r="A319" i="7"/>
  <c r="D318" i="7"/>
  <c r="C318" i="7"/>
  <c r="B318" i="7"/>
  <c r="A318" i="7"/>
  <c r="D317" i="7"/>
  <c r="C317" i="7"/>
  <c r="B317" i="7"/>
  <c r="A317" i="7"/>
  <c r="D316" i="7"/>
  <c r="C316" i="7"/>
  <c r="B316" i="7"/>
  <c r="A316" i="7"/>
  <c r="D315" i="7"/>
  <c r="C315" i="7"/>
  <c r="B315" i="7"/>
  <c r="A315" i="7"/>
  <c r="D314" i="7"/>
  <c r="C314" i="7"/>
  <c r="B314" i="7"/>
  <c r="A314" i="7"/>
  <c r="D313" i="7"/>
  <c r="C313" i="7"/>
  <c r="B313" i="7"/>
  <c r="A313" i="7"/>
  <c r="D312" i="7"/>
  <c r="C312" i="7"/>
  <c r="B312" i="7"/>
  <c r="A312" i="7"/>
  <c r="D311" i="7"/>
  <c r="C311" i="7"/>
  <c r="B311" i="7"/>
  <c r="A311" i="7"/>
  <c r="D310" i="7"/>
  <c r="C310" i="7"/>
  <c r="B310" i="7"/>
  <c r="A310" i="7"/>
  <c r="D309" i="7"/>
  <c r="C309" i="7"/>
  <c r="B309" i="7"/>
  <c r="A309" i="7"/>
  <c r="D308" i="7"/>
  <c r="C308" i="7"/>
  <c r="B308" i="7"/>
  <c r="A308" i="7"/>
  <c r="D307" i="7"/>
  <c r="C307" i="7"/>
  <c r="B307" i="7"/>
  <c r="A307" i="7"/>
  <c r="D306" i="7"/>
  <c r="C306" i="7"/>
  <c r="B306" i="7"/>
  <c r="A306" i="7"/>
  <c r="D305" i="7"/>
  <c r="C305" i="7"/>
  <c r="B305" i="7"/>
  <c r="A305" i="7"/>
  <c r="D304" i="7"/>
  <c r="C304" i="7"/>
  <c r="B304" i="7"/>
  <c r="A304" i="7"/>
  <c r="D303" i="7"/>
  <c r="C303" i="7"/>
  <c r="B303" i="7"/>
  <c r="A303" i="7"/>
  <c r="D302" i="7"/>
  <c r="C302" i="7"/>
  <c r="B302" i="7"/>
  <c r="A302" i="7"/>
  <c r="D301" i="7"/>
  <c r="C301" i="7"/>
  <c r="B301" i="7"/>
  <c r="A301" i="7"/>
  <c r="D300" i="7"/>
  <c r="C300" i="7"/>
  <c r="B300" i="7"/>
  <c r="A300" i="7"/>
  <c r="D299" i="7"/>
  <c r="C299" i="7"/>
  <c r="B299" i="7"/>
  <c r="A299" i="7"/>
  <c r="D298" i="7"/>
  <c r="C298" i="7"/>
  <c r="B298" i="7"/>
  <c r="A298" i="7"/>
  <c r="D297" i="7"/>
  <c r="C297" i="7"/>
  <c r="B297" i="7"/>
  <c r="A297" i="7"/>
  <c r="D296" i="7"/>
  <c r="C296" i="7"/>
  <c r="B296" i="7"/>
  <c r="A296" i="7"/>
  <c r="D295" i="7"/>
  <c r="C295" i="7"/>
  <c r="B295" i="7"/>
  <c r="A295" i="7"/>
  <c r="D294" i="7"/>
  <c r="C294" i="7"/>
  <c r="B294" i="7"/>
  <c r="A294" i="7"/>
  <c r="D293" i="7"/>
  <c r="C293" i="7"/>
  <c r="B293" i="7"/>
  <c r="A293" i="7"/>
  <c r="D292" i="7"/>
  <c r="C292" i="7"/>
  <c r="B292" i="7"/>
  <c r="A292" i="7"/>
  <c r="D291" i="7"/>
  <c r="C291" i="7"/>
  <c r="B291" i="7"/>
  <c r="A291" i="7"/>
  <c r="D290" i="7"/>
  <c r="C290" i="7"/>
  <c r="B290" i="7"/>
  <c r="A290" i="7"/>
  <c r="D289" i="7"/>
  <c r="C289" i="7"/>
  <c r="B289" i="7"/>
  <c r="A289" i="7"/>
  <c r="D288" i="7"/>
  <c r="C288" i="7"/>
  <c r="B288" i="7"/>
  <c r="A288" i="7"/>
  <c r="D287" i="7"/>
  <c r="C287" i="7"/>
  <c r="B287" i="7"/>
  <c r="A287" i="7"/>
  <c r="D286" i="7"/>
  <c r="C286" i="7"/>
  <c r="B286" i="7"/>
  <c r="A286" i="7"/>
  <c r="D285" i="7"/>
  <c r="C285" i="7"/>
  <c r="B285" i="7"/>
  <c r="A285" i="7"/>
  <c r="D284" i="7"/>
  <c r="C284" i="7"/>
  <c r="B284" i="7"/>
  <c r="A284" i="7"/>
  <c r="D283" i="7"/>
  <c r="C283" i="7"/>
  <c r="B283" i="7"/>
  <c r="A283" i="7"/>
  <c r="D282" i="7"/>
  <c r="C282" i="7"/>
  <c r="B282" i="7"/>
  <c r="A282" i="7"/>
  <c r="D281" i="7"/>
  <c r="C281" i="7"/>
  <c r="B281" i="7"/>
  <c r="A281" i="7"/>
  <c r="D280" i="7"/>
  <c r="C280" i="7"/>
  <c r="B280" i="7"/>
  <c r="A280" i="7"/>
  <c r="D279" i="7"/>
  <c r="C279" i="7"/>
  <c r="B279" i="7"/>
  <c r="A279" i="7"/>
  <c r="D278" i="7"/>
  <c r="C278" i="7"/>
  <c r="B278" i="7"/>
  <c r="A278" i="7"/>
  <c r="D277" i="7"/>
  <c r="C277" i="7"/>
  <c r="B277" i="7"/>
  <c r="A277" i="7"/>
  <c r="D276" i="7"/>
  <c r="C276" i="7"/>
  <c r="B276" i="7"/>
  <c r="A276" i="7"/>
  <c r="D275" i="7"/>
  <c r="C275" i="7"/>
  <c r="B275" i="7"/>
  <c r="A275" i="7"/>
  <c r="D274" i="7"/>
  <c r="C274" i="7"/>
  <c r="B274" i="7"/>
  <c r="A274" i="7"/>
  <c r="D273" i="7"/>
  <c r="C273" i="7"/>
  <c r="B273" i="7"/>
  <c r="A273" i="7"/>
  <c r="D272" i="7"/>
  <c r="C272" i="7"/>
  <c r="B272" i="7"/>
  <c r="A272" i="7"/>
  <c r="D271" i="7"/>
  <c r="C271" i="7"/>
  <c r="B271" i="7"/>
  <c r="A271" i="7"/>
  <c r="D270" i="7"/>
  <c r="C270" i="7"/>
  <c r="B270" i="7"/>
  <c r="A270" i="7"/>
  <c r="D269" i="7"/>
  <c r="C269" i="7"/>
  <c r="B269" i="7"/>
  <c r="A269" i="7"/>
  <c r="D268" i="7"/>
  <c r="C268" i="7"/>
  <c r="B268" i="7"/>
  <c r="A268" i="7"/>
  <c r="D267" i="7"/>
  <c r="C267" i="7"/>
  <c r="B267" i="7"/>
  <c r="A267" i="7"/>
  <c r="D266" i="7"/>
  <c r="C266" i="7"/>
  <c r="B266" i="7"/>
  <c r="A266" i="7"/>
  <c r="D265" i="7"/>
  <c r="C265" i="7"/>
  <c r="B265" i="7"/>
  <c r="A265" i="7"/>
  <c r="D264" i="7"/>
  <c r="C264" i="7"/>
  <c r="B264" i="7"/>
  <c r="A264" i="7"/>
  <c r="D263" i="7"/>
  <c r="C263" i="7"/>
  <c r="B263" i="7"/>
  <c r="A263" i="7"/>
  <c r="D262" i="7"/>
  <c r="C262" i="7"/>
  <c r="B262" i="7"/>
  <c r="A262" i="7"/>
  <c r="D261" i="7"/>
  <c r="C261" i="7"/>
  <c r="B261" i="7"/>
  <c r="A261" i="7"/>
  <c r="D260" i="7"/>
  <c r="C260" i="7"/>
  <c r="B260" i="7"/>
  <c r="A260" i="7"/>
  <c r="D259" i="7"/>
  <c r="C259" i="7"/>
  <c r="B259" i="7"/>
  <c r="A259" i="7"/>
  <c r="D258" i="7"/>
  <c r="C258" i="7"/>
  <c r="B258" i="7"/>
  <c r="A258" i="7"/>
  <c r="D257" i="7"/>
  <c r="C257" i="7"/>
  <c r="B257" i="7"/>
  <c r="A257" i="7"/>
  <c r="D256" i="7"/>
  <c r="C256" i="7"/>
  <c r="B256" i="7"/>
  <c r="A256" i="7"/>
  <c r="D255" i="7"/>
  <c r="C255" i="7"/>
  <c r="B255" i="7"/>
  <c r="A255" i="7"/>
  <c r="D254" i="7"/>
  <c r="C254" i="7"/>
  <c r="B254" i="7"/>
  <c r="A254" i="7"/>
  <c r="D253" i="7"/>
  <c r="C253" i="7"/>
  <c r="B253" i="7"/>
  <c r="A253" i="7"/>
  <c r="D252" i="7"/>
  <c r="C252" i="7"/>
  <c r="B252" i="7"/>
  <c r="A252" i="7"/>
  <c r="D251" i="7"/>
  <c r="C251" i="7"/>
  <c r="B251" i="7"/>
  <c r="A251" i="7"/>
  <c r="D250" i="7"/>
  <c r="C250" i="7"/>
  <c r="B250" i="7"/>
  <c r="A250" i="7"/>
  <c r="D249" i="7"/>
  <c r="C249" i="7"/>
  <c r="B249" i="7"/>
  <c r="A249" i="7"/>
  <c r="D248" i="7"/>
  <c r="C248" i="7"/>
  <c r="B248" i="7"/>
  <c r="A248" i="7"/>
  <c r="D247" i="7"/>
  <c r="C247" i="7"/>
  <c r="B247" i="7"/>
  <c r="A247" i="7"/>
  <c r="D246" i="7"/>
  <c r="C246" i="7"/>
  <c r="B246" i="7"/>
  <c r="A246" i="7"/>
  <c r="D245" i="7"/>
  <c r="C245" i="7"/>
  <c r="B245" i="7"/>
  <c r="A245" i="7"/>
  <c r="D244" i="7"/>
  <c r="C244" i="7"/>
  <c r="B244" i="7"/>
  <c r="A244" i="7"/>
  <c r="D243" i="7"/>
  <c r="C243" i="7"/>
  <c r="B243" i="7"/>
  <c r="A243" i="7"/>
  <c r="D242" i="7"/>
  <c r="C242" i="7"/>
  <c r="B242" i="7"/>
  <c r="A242" i="7"/>
  <c r="D241" i="7"/>
  <c r="C241" i="7"/>
  <c r="B241" i="7"/>
  <c r="A241" i="7"/>
  <c r="D240" i="7"/>
  <c r="C240" i="7"/>
  <c r="B240" i="7"/>
  <c r="A240" i="7"/>
  <c r="D239" i="7"/>
  <c r="C239" i="7"/>
  <c r="B239" i="7"/>
  <c r="A239" i="7"/>
  <c r="D238" i="7"/>
  <c r="C238" i="7"/>
  <c r="B238" i="7"/>
  <c r="A238" i="7"/>
  <c r="D237" i="7"/>
  <c r="C237" i="7"/>
  <c r="B237" i="7"/>
  <c r="A237" i="7"/>
  <c r="D236" i="7"/>
  <c r="C236" i="7"/>
  <c r="B236" i="7"/>
  <c r="A236" i="7"/>
  <c r="D235" i="7"/>
  <c r="C235" i="7"/>
  <c r="B235" i="7"/>
  <c r="A235" i="7"/>
  <c r="D234" i="7"/>
  <c r="C234" i="7"/>
  <c r="B234" i="7"/>
  <c r="A234" i="7"/>
  <c r="D233" i="7"/>
  <c r="C233" i="7"/>
  <c r="B233" i="7"/>
  <c r="A233" i="7"/>
  <c r="D232" i="7"/>
  <c r="C232" i="7"/>
  <c r="B232" i="7"/>
  <c r="A232" i="7"/>
  <c r="D231" i="7"/>
  <c r="C231" i="7"/>
  <c r="B231" i="7"/>
  <c r="A231" i="7"/>
  <c r="D230" i="7"/>
  <c r="C230" i="7"/>
  <c r="B230" i="7"/>
  <c r="A230" i="7"/>
  <c r="D229" i="7"/>
  <c r="C229" i="7"/>
  <c r="B229" i="7"/>
  <c r="A229" i="7"/>
  <c r="D228" i="7"/>
  <c r="C228" i="7"/>
  <c r="B228" i="7"/>
  <c r="A228" i="7"/>
  <c r="D227" i="7"/>
  <c r="C227" i="7"/>
  <c r="B227" i="7"/>
  <c r="A227" i="7"/>
  <c r="D226" i="7"/>
  <c r="C226" i="7"/>
  <c r="B226" i="7"/>
  <c r="A226" i="7"/>
  <c r="D225" i="7"/>
  <c r="C225" i="7"/>
  <c r="B225" i="7"/>
  <c r="A225" i="7"/>
  <c r="D224" i="7"/>
  <c r="C224" i="7"/>
  <c r="B224" i="7"/>
  <c r="A224" i="7"/>
  <c r="D223" i="7"/>
  <c r="C223" i="7"/>
  <c r="B223" i="7"/>
  <c r="A223" i="7"/>
  <c r="D222" i="7"/>
  <c r="C222" i="7"/>
  <c r="B222" i="7"/>
  <c r="A222" i="7"/>
  <c r="D221" i="7"/>
  <c r="C221" i="7"/>
  <c r="B221" i="7"/>
  <c r="A221" i="7"/>
  <c r="D220" i="7"/>
  <c r="C220" i="7"/>
  <c r="B220" i="7"/>
  <c r="A220" i="7"/>
  <c r="D219" i="7"/>
  <c r="C219" i="7"/>
  <c r="B219" i="7"/>
  <c r="A219" i="7"/>
  <c r="D218" i="7"/>
  <c r="C218" i="7"/>
  <c r="B218" i="7"/>
  <c r="A218" i="7"/>
  <c r="D217" i="7"/>
  <c r="C217" i="7"/>
  <c r="B217" i="7"/>
  <c r="A217" i="7"/>
  <c r="D216" i="7"/>
  <c r="C216" i="7"/>
  <c r="B216" i="7"/>
  <c r="A216" i="7"/>
  <c r="D215" i="7"/>
  <c r="C215" i="7"/>
  <c r="B215" i="7"/>
  <c r="A215" i="7"/>
  <c r="D214" i="7"/>
  <c r="C214" i="7"/>
  <c r="B214" i="7"/>
  <c r="A214" i="7"/>
  <c r="D213" i="7"/>
  <c r="C213" i="7"/>
  <c r="B213" i="7"/>
  <c r="A213" i="7"/>
  <c r="D212" i="7"/>
  <c r="C212" i="7"/>
  <c r="B212" i="7"/>
  <c r="A212" i="7"/>
  <c r="D211" i="7"/>
  <c r="C211" i="7"/>
  <c r="B211" i="7"/>
  <c r="A211" i="7"/>
  <c r="D210" i="7"/>
  <c r="C210" i="7"/>
  <c r="B210" i="7"/>
  <c r="A210" i="7"/>
  <c r="D209" i="7"/>
  <c r="C209" i="7"/>
  <c r="B209" i="7"/>
  <c r="A209" i="7"/>
  <c r="D208" i="7"/>
  <c r="C208" i="7"/>
  <c r="B208" i="7"/>
  <c r="A208" i="7"/>
  <c r="D207" i="7"/>
  <c r="C207" i="7"/>
  <c r="B207" i="7"/>
  <c r="A207" i="7"/>
  <c r="D206" i="7"/>
  <c r="C206" i="7"/>
  <c r="B206" i="7"/>
  <c r="A206" i="7"/>
  <c r="D205" i="7"/>
  <c r="C205" i="7"/>
  <c r="B205" i="7"/>
  <c r="A205" i="7"/>
  <c r="D204" i="7"/>
  <c r="C204" i="7"/>
  <c r="B204" i="7"/>
  <c r="A204" i="7"/>
  <c r="D203" i="7"/>
  <c r="C203" i="7"/>
  <c r="B203" i="7"/>
  <c r="A203" i="7"/>
  <c r="D202" i="7"/>
  <c r="C202" i="7"/>
  <c r="B202" i="7"/>
  <c r="A202" i="7"/>
  <c r="D201" i="7"/>
  <c r="C201" i="7"/>
  <c r="B201" i="7"/>
  <c r="A201" i="7"/>
  <c r="D200" i="7"/>
  <c r="C200" i="7"/>
  <c r="B200" i="7"/>
  <c r="A200" i="7"/>
  <c r="D199" i="7"/>
  <c r="C199" i="7"/>
  <c r="B199" i="7"/>
  <c r="A199" i="7"/>
  <c r="D198" i="7"/>
  <c r="C198" i="7"/>
  <c r="B198" i="7"/>
  <c r="A198" i="7"/>
  <c r="D197" i="7"/>
  <c r="C197" i="7"/>
  <c r="B197" i="7"/>
  <c r="A197" i="7"/>
  <c r="D196" i="7"/>
  <c r="C196" i="7"/>
  <c r="B196" i="7"/>
  <c r="A196" i="7"/>
  <c r="D195" i="7"/>
  <c r="C195" i="7"/>
  <c r="B195" i="7"/>
  <c r="A195" i="7"/>
  <c r="D194" i="7"/>
  <c r="C194" i="7"/>
  <c r="B194" i="7"/>
  <c r="A194" i="7"/>
  <c r="D193" i="7"/>
  <c r="C193" i="7"/>
  <c r="B193" i="7"/>
  <c r="A193" i="7"/>
  <c r="D192" i="7"/>
  <c r="C192" i="7"/>
  <c r="B192" i="7"/>
  <c r="A192" i="7"/>
  <c r="D191" i="7"/>
  <c r="C191" i="7"/>
  <c r="B191" i="7"/>
  <c r="A191" i="7"/>
  <c r="D190" i="7"/>
  <c r="C190" i="7"/>
  <c r="B190" i="7"/>
  <c r="A190" i="7"/>
  <c r="D189" i="7"/>
  <c r="C189" i="7"/>
  <c r="B189" i="7"/>
  <c r="A189" i="7"/>
  <c r="D188" i="7"/>
  <c r="C188" i="7"/>
  <c r="B188" i="7"/>
  <c r="A188" i="7"/>
  <c r="D187" i="7"/>
  <c r="C187" i="7"/>
  <c r="B187" i="7"/>
  <c r="A187" i="7"/>
  <c r="D186" i="7"/>
  <c r="C186" i="7"/>
  <c r="B186" i="7"/>
  <c r="A186" i="7"/>
  <c r="D185" i="7"/>
  <c r="C185" i="7"/>
  <c r="B185" i="7"/>
  <c r="A185" i="7"/>
  <c r="D184" i="7"/>
  <c r="C184" i="7"/>
  <c r="B184" i="7"/>
  <c r="A184" i="7"/>
  <c r="D183" i="7"/>
  <c r="C183" i="7"/>
  <c r="B183" i="7"/>
  <c r="A183" i="7"/>
  <c r="D182" i="7"/>
  <c r="C182" i="7"/>
  <c r="B182" i="7"/>
  <c r="A182" i="7"/>
  <c r="D181" i="7"/>
  <c r="C181" i="7"/>
  <c r="B181" i="7"/>
  <c r="A181" i="7"/>
  <c r="D180" i="7"/>
  <c r="C180" i="7"/>
  <c r="B180" i="7"/>
  <c r="A180" i="7"/>
  <c r="D179" i="7"/>
  <c r="C179" i="7"/>
  <c r="B179" i="7"/>
  <c r="A179" i="7"/>
  <c r="D178" i="7"/>
  <c r="C178" i="7"/>
  <c r="B178" i="7"/>
  <c r="A178" i="7"/>
  <c r="D177" i="7"/>
  <c r="C177" i="7"/>
  <c r="B177" i="7"/>
  <c r="A177" i="7"/>
  <c r="D176" i="7"/>
  <c r="C176" i="7"/>
  <c r="B176" i="7"/>
  <c r="A176" i="7"/>
  <c r="D175" i="7"/>
  <c r="C175" i="7"/>
  <c r="B175" i="7"/>
  <c r="A175" i="7"/>
  <c r="D174" i="7"/>
  <c r="C174" i="7"/>
  <c r="B174" i="7"/>
  <c r="A174" i="7"/>
  <c r="D173" i="7"/>
  <c r="C173" i="7"/>
  <c r="B173" i="7"/>
  <c r="A173" i="7"/>
  <c r="D172" i="7"/>
  <c r="C172" i="7"/>
  <c r="B172" i="7"/>
  <c r="A172" i="7"/>
  <c r="D171" i="7"/>
  <c r="C171" i="7"/>
  <c r="B171" i="7"/>
  <c r="A171" i="7"/>
  <c r="D170" i="7"/>
  <c r="C170" i="7"/>
  <c r="B170" i="7"/>
  <c r="A170" i="7"/>
  <c r="D169" i="7"/>
  <c r="C169" i="7"/>
  <c r="B169" i="7"/>
  <c r="A169" i="7"/>
  <c r="D168" i="7"/>
  <c r="C168" i="7"/>
  <c r="B168" i="7"/>
  <c r="A168" i="7"/>
  <c r="D167" i="7"/>
  <c r="C167" i="7"/>
  <c r="B167" i="7"/>
  <c r="A167" i="7"/>
  <c r="D166" i="7"/>
  <c r="C166" i="7"/>
  <c r="B166" i="7"/>
  <c r="A166" i="7"/>
  <c r="D165" i="7"/>
  <c r="C165" i="7"/>
  <c r="B165" i="7"/>
  <c r="A165" i="7"/>
  <c r="D164" i="7"/>
  <c r="C164" i="7"/>
  <c r="B164" i="7"/>
  <c r="A164" i="7"/>
  <c r="D163" i="7"/>
  <c r="C163" i="7"/>
  <c r="B163" i="7"/>
  <c r="A163" i="7"/>
  <c r="D162" i="7"/>
  <c r="C162" i="7"/>
  <c r="B162" i="7"/>
  <c r="A162" i="7"/>
  <c r="D161" i="7"/>
  <c r="C161" i="7"/>
  <c r="B161" i="7"/>
  <c r="A161" i="7"/>
  <c r="D160" i="7"/>
  <c r="C160" i="7"/>
  <c r="B160" i="7"/>
  <c r="A160" i="7"/>
  <c r="D159" i="7"/>
  <c r="C159" i="7"/>
  <c r="B159" i="7"/>
  <c r="A159" i="7"/>
  <c r="D158" i="7"/>
  <c r="C158" i="7"/>
  <c r="B158" i="7"/>
  <c r="A158" i="7"/>
  <c r="D157" i="7"/>
  <c r="C157" i="7"/>
  <c r="B157" i="7"/>
  <c r="A157" i="7"/>
  <c r="D156" i="7"/>
  <c r="C156" i="7"/>
  <c r="B156" i="7"/>
  <c r="A156" i="7"/>
  <c r="D155" i="7"/>
  <c r="C155" i="7"/>
  <c r="B155" i="7"/>
  <c r="A155" i="7"/>
  <c r="D154" i="7"/>
  <c r="C154" i="7"/>
  <c r="B154" i="7"/>
  <c r="A154" i="7"/>
  <c r="D153" i="7"/>
  <c r="C153" i="7"/>
  <c r="B153" i="7"/>
  <c r="A153" i="7"/>
  <c r="D152" i="7"/>
  <c r="C152" i="7"/>
  <c r="B152" i="7"/>
  <c r="A152" i="7"/>
  <c r="D151" i="7"/>
  <c r="C151" i="7"/>
  <c r="B151" i="7"/>
  <c r="A151" i="7"/>
  <c r="D150" i="7"/>
  <c r="C150" i="7"/>
  <c r="B150" i="7"/>
  <c r="A150" i="7"/>
  <c r="D149" i="7"/>
  <c r="C149" i="7"/>
  <c r="B149" i="7"/>
  <c r="A149" i="7"/>
  <c r="D148" i="7"/>
  <c r="C148" i="7"/>
  <c r="B148" i="7"/>
  <c r="A148" i="7"/>
  <c r="D147" i="7"/>
  <c r="C147" i="7"/>
  <c r="B147" i="7"/>
  <c r="A147" i="7"/>
  <c r="D146" i="7"/>
  <c r="C146" i="7"/>
  <c r="B146" i="7"/>
  <c r="A146" i="7"/>
  <c r="D145" i="7"/>
  <c r="C145" i="7"/>
  <c r="B145" i="7"/>
  <c r="A145" i="7"/>
  <c r="D144" i="7"/>
  <c r="C144" i="7"/>
  <c r="B144" i="7"/>
  <c r="A144" i="7"/>
  <c r="D143" i="7"/>
  <c r="C143" i="7"/>
  <c r="B143" i="7"/>
  <c r="A143" i="7"/>
  <c r="D142" i="7"/>
  <c r="C142" i="7"/>
  <c r="B142" i="7"/>
  <c r="A142" i="7"/>
  <c r="D141" i="7"/>
  <c r="C141" i="7"/>
  <c r="B141" i="7"/>
  <c r="A141" i="7"/>
  <c r="D140" i="7"/>
  <c r="C140" i="7"/>
  <c r="B140" i="7"/>
  <c r="A140" i="7"/>
  <c r="D139" i="7"/>
  <c r="C139" i="7"/>
  <c r="B139" i="7"/>
  <c r="A139" i="7"/>
  <c r="D138" i="7"/>
  <c r="C138" i="7"/>
  <c r="B138" i="7"/>
  <c r="A138" i="7"/>
  <c r="D137" i="7"/>
  <c r="C137" i="7"/>
  <c r="B137" i="7"/>
  <c r="A137" i="7"/>
  <c r="D136" i="7"/>
  <c r="C136" i="7"/>
  <c r="B136" i="7"/>
  <c r="A136" i="7"/>
  <c r="D135" i="7"/>
  <c r="C135" i="7"/>
  <c r="B135" i="7"/>
  <c r="A135" i="7"/>
  <c r="D134" i="7"/>
  <c r="C134" i="7"/>
  <c r="B134" i="7"/>
  <c r="A134" i="7"/>
  <c r="D133" i="7"/>
  <c r="C133" i="7"/>
  <c r="B133" i="7"/>
  <c r="A133" i="7"/>
  <c r="D132" i="7"/>
  <c r="C132" i="7"/>
  <c r="B132" i="7"/>
  <c r="A132" i="7"/>
  <c r="D131" i="7"/>
  <c r="C131" i="7"/>
  <c r="B131" i="7"/>
  <c r="A131" i="7"/>
  <c r="D130" i="7"/>
  <c r="C130" i="7"/>
  <c r="B130" i="7"/>
  <c r="A130" i="7"/>
  <c r="D129" i="7"/>
  <c r="C129" i="7"/>
  <c r="B129" i="7"/>
  <c r="A129" i="7"/>
  <c r="D128" i="7"/>
  <c r="C128" i="7"/>
  <c r="B128" i="7"/>
  <c r="A128" i="7"/>
  <c r="D127" i="7"/>
  <c r="C127" i="7"/>
  <c r="B127" i="7"/>
  <c r="A127" i="7"/>
  <c r="D126" i="7"/>
  <c r="C126" i="7"/>
  <c r="B126" i="7"/>
  <c r="A126" i="7"/>
  <c r="D125" i="7"/>
  <c r="C125" i="7"/>
  <c r="B125" i="7"/>
  <c r="A125" i="7"/>
  <c r="D124" i="7"/>
  <c r="C124" i="7"/>
  <c r="B124" i="7"/>
  <c r="A124" i="7"/>
  <c r="D123" i="7"/>
  <c r="C123" i="7"/>
  <c r="B123" i="7"/>
  <c r="A123" i="7"/>
  <c r="D122" i="7"/>
  <c r="C122" i="7"/>
  <c r="B122" i="7"/>
  <c r="A122" i="7"/>
  <c r="D121" i="7"/>
  <c r="C121" i="7"/>
  <c r="B121" i="7"/>
  <c r="A121" i="7"/>
  <c r="D120" i="7"/>
  <c r="C120" i="7"/>
  <c r="B120" i="7"/>
  <c r="A120" i="7"/>
  <c r="D119" i="7"/>
  <c r="C119" i="7"/>
  <c r="B119" i="7"/>
  <c r="A119" i="7"/>
  <c r="D118" i="7"/>
  <c r="C118" i="7"/>
  <c r="B118" i="7"/>
  <c r="A118" i="7"/>
  <c r="D117" i="7"/>
  <c r="C117" i="7"/>
  <c r="B117" i="7"/>
  <c r="A117" i="7"/>
  <c r="D116" i="7"/>
  <c r="C116" i="7"/>
  <c r="B116" i="7"/>
  <c r="A116" i="7"/>
  <c r="D115" i="7"/>
  <c r="C115" i="7"/>
  <c r="B115" i="7"/>
  <c r="A115" i="7"/>
  <c r="D114" i="7"/>
  <c r="C114" i="7"/>
  <c r="B114" i="7"/>
  <c r="A114" i="7"/>
  <c r="D113" i="7"/>
  <c r="C113" i="7"/>
  <c r="B113" i="7"/>
  <c r="A113" i="7"/>
  <c r="D112" i="7"/>
  <c r="C112" i="7"/>
  <c r="B112" i="7"/>
  <c r="A112" i="7"/>
  <c r="D111" i="7"/>
  <c r="C111" i="7"/>
  <c r="B111" i="7"/>
  <c r="A111" i="7"/>
  <c r="D110" i="7"/>
  <c r="C110" i="7"/>
  <c r="B110" i="7"/>
  <c r="A110" i="7"/>
  <c r="D109" i="7"/>
  <c r="C109" i="7"/>
  <c r="B109" i="7"/>
  <c r="A109" i="7"/>
  <c r="D108" i="7"/>
  <c r="C108" i="7"/>
  <c r="B108" i="7"/>
  <c r="A108" i="7"/>
  <c r="D107" i="7"/>
  <c r="C107" i="7"/>
  <c r="B107" i="7"/>
  <c r="A107" i="7"/>
  <c r="D106" i="7"/>
  <c r="C106" i="7"/>
  <c r="B106" i="7"/>
  <c r="A106" i="7"/>
  <c r="D105" i="7"/>
  <c r="C105" i="7"/>
  <c r="B105" i="7"/>
  <c r="A105" i="7"/>
  <c r="D104" i="7"/>
  <c r="C104" i="7"/>
  <c r="B104" i="7"/>
  <c r="A104" i="7"/>
  <c r="D103" i="7"/>
  <c r="C103" i="7"/>
  <c r="B103" i="7"/>
  <c r="A103" i="7"/>
  <c r="D102" i="7"/>
  <c r="C102" i="7"/>
  <c r="B102" i="7"/>
  <c r="A102" i="7"/>
  <c r="D101" i="7"/>
  <c r="C101" i="7"/>
  <c r="B101" i="7"/>
  <c r="A101" i="7"/>
  <c r="D100" i="7"/>
  <c r="C100" i="7"/>
  <c r="B100" i="7"/>
  <c r="A100" i="7"/>
  <c r="D99" i="7"/>
  <c r="C99" i="7"/>
  <c r="B99" i="7"/>
  <c r="A99" i="7"/>
  <c r="D98" i="7"/>
  <c r="C98" i="7"/>
  <c r="B98" i="7"/>
  <c r="A98" i="7"/>
  <c r="D97" i="7"/>
  <c r="C97" i="7"/>
  <c r="B97" i="7"/>
  <c r="A97" i="7"/>
  <c r="D96" i="7"/>
  <c r="C96" i="7"/>
  <c r="B96" i="7"/>
  <c r="A96" i="7"/>
  <c r="D95" i="7"/>
  <c r="C95" i="7"/>
  <c r="B95" i="7"/>
  <c r="A95" i="7"/>
  <c r="D94" i="7"/>
  <c r="C94" i="7"/>
  <c r="B94" i="7"/>
  <c r="A94" i="7"/>
  <c r="D93" i="7"/>
  <c r="C93" i="7"/>
  <c r="B93" i="7"/>
  <c r="A93" i="7"/>
  <c r="D92" i="7"/>
  <c r="C92" i="7"/>
  <c r="B92" i="7"/>
  <c r="A92" i="7"/>
  <c r="D91" i="7"/>
  <c r="C91" i="7"/>
  <c r="B91" i="7"/>
  <c r="A91" i="7"/>
  <c r="D90" i="7"/>
  <c r="C90" i="7"/>
  <c r="B90" i="7"/>
  <c r="A90" i="7"/>
  <c r="D89" i="7"/>
  <c r="C89" i="7"/>
  <c r="B89" i="7"/>
  <c r="A89" i="7"/>
  <c r="D88" i="7"/>
  <c r="C88" i="7"/>
  <c r="B88" i="7"/>
  <c r="A88" i="7"/>
  <c r="D87" i="7"/>
  <c r="C87" i="7"/>
  <c r="B87" i="7"/>
  <c r="A87" i="7"/>
  <c r="D86" i="7"/>
  <c r="C86" i="7"/>
  <c r="B86" i="7"/>
  <c r="A86" i="7"/>
  <c r="D85" i="7"/>
  <c r="C85" i="7"/>
  <c r="B85" i="7"/>
  <c r="A85" i="7"/>
  <c r="D84" i="7"/>
  <c r="C84" i="7"/>
  <c r="B84" i="7"/>
  <c r="A84" i="7"/>
  <c r="D83" i="7"/>
  <c r="C83" i="7"/>
  <c r="B83" i="7"/>
  <c r="A83" i="7"/>
  <c r="D82" i="7"/>
  <c r="C82" i="7"/>
  <c r="B82" i="7"/>
  <c r="A82" i="7"/>
  <c r="D81" i="7"/>
  <c r="C81" i="7"/>
  <c r="B81" i="7"/>
  <c r="A81" i="7"/>
  <c r="D80" i="7"/>
  <c r="C80" i="7"/>
  <c r="B80" i="7"/>
  <c r="A80" i="7"/>
  <c r="D79" i="7"/>
  <c r="C79" i="7"/>
  <c r="B79" i="7"/>
  <c r="A79" i="7"/>
  <c r="D78" i="7"/>
  <c r="C78" i="7"/>
  <c r="B78" i="7"/>
  <c r="A78" i="7"/>
  <c r="D77" i="7"/>
  <c r="C77" i="7"/>
  <c r="B77" i="7"/>
  <c r="A77" i="7"/>
  <c r="D76" i="7"/>
  <c r="C76" i="7"/>
  <c r="B76" i="7"/>
  <c r="A76" i="7"/>
  <c r="D75" i="7"/>
  <c r="C75" i="7"/>
  <c r="B75" i="7"/>
  <c r="A75" i="7"/>
  <c r="D74" i="7"/>
  <c r="C74" i="7"/>
  <c r="B74" i="7"/>
  <c r="A74" i="7"/>
  <c r="D73" i="7"/>
  <c r="C73" i="7"/>
  <c r="B73" i="7"/>
  <c r="A73" i="7"/>
  <c r="D72" i="7"/>
  <c r="C72" i="7"/>
  <c r="B72" i="7"/>
  <c r="A72" i="7"/>
  <c r="D71" i="7"/>
  <c r="C71" i="7"/>
  <c r="B71" i="7"/>
  <c r="A71" i="7"/>
  <c r="D70" i="7"/>
  <c r="C70" i="7"/>
  <c r="B70" i="7"/>
  <c r="A70" i="7"/>
  <c r="D69" i="7"/>
  <c r="C69" i="7"/>
  <c r="B69" i="7"/>
  <c r="A69" i="7"/>
  <c r="D68" i="7"/>
  <c r="C68" i="7"/>
  <c r="B68" i="7"/>
  <c r="A68" i="7"/>
  <c r="D67" i="7"/>
  <c r="C67" i="7"/>
  <c r="B67" i="7"/>
  <c r="A67" i="7"/>
  <c r="D66" i="7"/>
  <c r="C66" i="7"/>
  <c r="B66" i="7"/>
  <c r="A66" i="7"/>
  <c r="D65" i="7"/>
  <c r="C65" i="7"/>
  <c r="B65" i="7"/>
  <c r="A65" i="7"/>
  <c r="D64" i="7"/>
  <c r="C64" i="7"/>
  <c r="B64" i="7"/>
  <c r="A64" i="7"/>
  <c r="D63" i="7"/>
  <c r="C63" i="7"/>
  <c r="B63" i="7"/>
  <c r="A63" i="7"/>
  <c r="D62" i="7"/>
  <c r="C62" i="7"/>
  <c r="B62" i="7"/>
  <c r="A62" i="7"/>
  <c r="D61" i="7"/>
  <c r="C61" i="7"/>
  <c r="B61" i="7"/>
  <c r="A61" i="7"/>
  <c r="D60" i="7"/>
  <c r="C60" i="7"/>
  <c r="B60" i="7"/>
  <c r="A60" i="7"/>
  <c r="D59" i="7"/>
  <c r="C59" i="7"/>
  <c r="B59" i="7"/>
  <c r="A59" i="7"/>
  <c r="D58" i="7"/>
  <c r="C58" i="7"/>
  <c r="B58" i="7"/>
  <c r="A58" i="7"/>
  <c r="D57" i="7"/>
  <c r="C57" i="7"/>
  <c r="B57" i="7"/>
  <c r="A57" i="7"/>
  <c r="D56" i="7"/>
  <c r="C56" i="7"/>
  <c r="B56" i="7"/>
  <c r="A56" i="7"/>
  <c r="D55" i="7"/>
  <c r="C55" i="7"/>
  <c r="B55" i="7"/>
  <c r="A55" i="7"/>
  <c r="D54" i="7"/>
  <c r="C54" i="7"/>
  <c r="B54" i="7"/>
  <c r="A54" i="7"/>
  <c r="D53" i="7"/>
  <c r="C53" i="7"/>
  <c r="B53" i="7"/>
  <c r="A53" i="7"/>
  <c r="D52" i="7"/>
  <c r="C52" i="7"/>
  <c r="B52" i="7"/>
  <c r="A52" i="7"/>
  <c r="D51" i="7"/>
  <c r="C51" i="7"/>
  <c r="B51" i="7"/>
  <c r="A51" i="7"/>
  <c r="D50" i="7"/>
  <c r="C50" i="7"/>
  <c r="B50" i="7"/>
  <c r="A50" i="7"/>
  <c r="D49" i="7"/>
  <c r="C49" i="7"/>
  <c r="B49" i="7"/>
  <c r="A49" i="7"/>
  <c r="D48" i="7"/>
  <c r="C48" i="7"/>
  <c r="B48" i="7"/>
  <c r="A48" i="7"/>
  <c r="D47" i="7"/>
  <c r="C47" i="7"/>
  <c r="B47" i="7"/>
  <c r="A47" i="7"/>
  <c r="D46" i="7"/>
  <c r="C46" i="7"/>
  <c r="B46" i="7"/>
  <c r="A46" i="7"/>
  <c r="D45" i="7"/>
  <c r="C45" i="7"/>
  <c r="B45" i="7"/>
  <c r="A45" i="7"/>
  <c r="D44" i="7"/>
  <c r="C44" i="7"/>
  <c r="B44" i="7"/>
  <c r="A44" i="7"/>
  <c r="D43" i="7"/>
  <c r="C43" i="7"/>
  <c r="B43" i="7"/>
  <c r="A43" i="7"/>
  <c r="D42" i="7"/>
  <c r="C42" i="7"/>
  <c r="B42" i="7"/>
  <c r="A42" i="7"/>
  <c r="D41" i="7"/>
  <c r="C41" i="7"/>
  <c r="B41" i="7"/>
  <c r="A41" i="7"/>
  <c r="D40" i="7"/>
  <c r="C40" i="7"/>
  <c r="B40" i="7"/>
  <c r="A40" i="7"/>
  <c r="D39" i="7"/>
  <c r="C39" i="7"/>
  <c r="B39" i="7"/>
  <c r="A39" i="7"/>
  <c r="D38" i="7"/>
  <c r="C38" i="7"/>
  <c r="B38" i="7"/>
  <c r="A38" i="7"/>
  <c r="D37" i="7"/>
  <c r="C37" i="7"/>
  <c r="B37" i="7"/>
  <c r="A37" i="7"/>
  <c r="D36" i="7"/>
  <c r="C36" i="7"/>
  <c r="B36" i="7"/>
  <c r="A36" i="7"/>
  <c r="D35" i="7"/>
  <c r="C35" i="7"/>
  <c r="B35" i="7"/>
  <c r="A35" i="7"/>
  <c r="D34" i="7"/>
  <c r="C34" i="7"/>
  <c r="B34" i="7"/>
  <c r="A34" i="7"/>
  <c r="D33" i="7"/>
  <c r="C33" i="7"/>
  <c r="B33" i="7"/>
  <c r="A33" i="7"/>
  <c r="D32" i="7"/>
  <c r="C32" i="7"/>
  <c r="B32" i="7"/>
  <c r="A32" i="7"/>
  <c r="D31" i="7"/>
  <c r="C31" i="7"/>
  <c r="B31" i="7"/>
  <c r="A31" i="7"/>
  <c r="D30" i="7"/>
  <c r="C30" i="7"/>
  <c r="B30" i="7"/>
  <c r="A30" i="7"/>
  <c r="D29" i="7"/>
  <c r="C29" i="7"/>
  <c r="B29" i="7"/>
  <c r="A29" i="7"/>
  <c r="D28" i="7"/>
  <c r="C28" i="7"/>
  <c r="B28" i="7"/>
  <c r="A28" i="7"/>
  <c r="D27" i="7"/>
  <c r="C27" i="7"/>
  <c r="B27" i="7"/>
  <c r="A27" i="7"/>
  <c r="D26" i="7"/>
  <c r="C26" i="7"/>
  <c r="B26" i="7"/>
  <c r="A26" i="7"/>
  <c r="D25" i="7"/>
  <c r="C25" i="7"/>
  <c r="B25" i="7"/>
  <c r="A25" i="7"/>
  <c r="D24" i="7"/>
  <c r="C24" i="7"/>
  <c r="B24" i="7"/>
  <c r="A24" i="7"/>
  <c r="D23" i="7"/>
  <c r="C23" i="7"/>
  <c r="B23" i="7"/>
  <c r="A23" i="7"/>
  <c r="D22" i="7"/>
  <c r="C22" i="7"/>
  <c r="B22" i="7"/>
  <c r="A22" i="7"/>
  <c r="D21" i="7"/>
  <c r="C21" i="7"/>
  <c r="B21" i="7"/>
  <c r="A21" i="7"/>
  <c r="D20" i="7"/>
  <c r="C20" i="7"/>
  <c r="B20" i="7"/>
  <c r="A20" i="7"/>
  <c r="D19" i="7"/>
  <c r="C19" i="7"/>
  <c r="B19" i="7"/>
  <c r="A19" i="7"/>
  <c r="D18" i="7"/>
  <c r="C18" i="7"/>
  <c r="B18" i="7"/>
  <c r="A18" i="7"/>
  <c r="D17" i="7"/>
  <c r="C17" i="7"/>
  <c r="B17" i="7"/>
  <c r="A17" i="7"/>
  <c r="D16" i="7"/>
  <c r="C16" i="7"/>
  <c r="B16" i="7"/>
  <c r="A16" i="7"/>
  <c r="D15" i="7"/>
  <c r="C15" i="7"/>
  <c r="B15" i="7"/>
  <c r="A15" i="7"/>
  <c r="D14" i="7"/>
  <c r="C14" i="7"/>
  <c r="B14" i="7"/>
  <c r="A14" i="7"/>
  <c r="D13" i="7"/>
  <c r="C13" i="7"/>
  <c r="B13" i="7"/>
  <c r="A13" i="7"/>
  <c r="D12" i="7"/>
  <c r="C12" i="7"/>
  <c r="B12" i="7"/>
  <c r="A12" i="7"/>
  <c r="D11" i="7"/>
  <c r="C11" i="7"/>
  <c r="B11" i="7"/>
  <c r="A11" i="7"/>
  <c r="D10" i="7"/>
  <c r="C10" i="7"/>
  <c r="B10" i="7"/>
  <c r="A10" i="7"/>
  <c r="D9" i="7"/>
  <c r="C9" i="7"/>
  <c r="B9" i="7"/>
  <c r="A9" i="7"/>
  <c r="D8" i="7"/>
  <c r="C8" i="7"/>
  <c r="B8" i="7"/>
  <c r="A8" i="7"/>
  <c r="D7" i="7"/>
  <c r="C7" i="7"/>
  <c r="B7" i="7"/>
  <c r="A7" i="7"/>
  <c r="D6" i="7"/>
  <c r="C6" i="7"/>
  <c r="B6" i="7"/>
  <c r="A6" i="7"/>
  <c r="D5" i="7"/>
  <c r="C5" i="7"/>
  <c r="B5" i="7"/>
  <c r="A5" i="7"/>
  <c r="D4" i="7"/>
  <c r="C4" i="7"/>
  <c r="B4" i="7"/>
  <c r="A4" i="7"/>
  <c r="D3" i="7"/>
  <c r="C3" i="7"/>
  <c r="B3" i="7"/>
  <c r="A3" i="7"/>
  <c r="D2" i="7"/>
  <c r="C2" i="7"/>
  <c r="B2" i="7"/>
  <c r="A2" i="7"/>
  <c r="E501" i="4"/>
  <c r="F501" i="4"/>
  <c r="G501" i="4"/>
  <c r="H501" i="4"/>
  <c r="E500" i="4"/>
  <c r="F500" i="4"/>
  <c r="G500" i="4"/>
  <c r="H500" i="4"/>
  <c r="E499" i="4"/>
  <c r="F499" i="4"/>
  <c r="G499" i="4"/>
  <c r="H499" i="4"/>
  <c r="E498" i="4"/>
  <c r="F498" i="4"/>
  <c r="G498" i="4"/>
  <c r="H498" i="4"/>
  <c r="E497" i="4"/>
  <c r="F497" i="4"/>
  <c r="G497" i="4"/>
  <c r="H497" i="4"/>
  <c r="E496" i="4"/>
  <c r="F496" i="4"/>
  <c r="G496" i="4"/>
  <c r="H496" i="4"/>
  <c r="E495" i="4"/>
  <c r="F495" i="4"/>
  <c r="G495" i="4"/>
  <c r="H495" i="4"/>
  <c r="E494" i="4"/>
  <c r="F494" i="4"/>
  <c r="G494" i="4"/>
  <c r="H494" i="4"/>
  <c r="E493" i="4"/>
  <c r="F493" i="4"/>
  <c r="G493" i="4"/>
  <c r="H493" i="4"/>
  <c r="E492" i="4"/>
  <c r="F492" i="4"/>
  <c r="G492" i="4"/>
  <c r="H492" i="4"/>
  <c r="E491" i="4"/>
  <c r="F491" i="4"/>
  <c r="G491" i="4"/>
  <c r="H491" i="4"/>
  <c r="E490" i="4"/>
  <c r="F490" i="4"/>
  <c r="G490" i="4"/>
  <c r="H490" i="4"/>
  <c r="E489" i="4"/>
  <c r="F489" i="4"/>
  <c r="G489" i="4"/>
  <c r="H489" i="4"/>
  <c r="E488" i="4"/>
  <c r="F488" i="4"/>
  <c r="G488" i="4"/>
  <c r="H488" i="4"/>
  <c r="E487" i="4"/>
  <c r="F487" i="4"/>
  <c r="G487" i="4"/>
  <c r="H487" i="4"/>
  <c r="E486" i="4"/>
  <c r="F486" i="4"/>
  <c r="G486" i="4"/>
  <c r="H486" i="4"/>
  <c r="E485" i="4"/>
  <c r="F485" i="4"/>
  <c r="G485" i="4"/>
  <c r="H485" i="4"/>
  <c r="E484" i="4"/>
  <c r="F484" i="4"/>
  <c r="G484" i="4"/>
  <c r="H484" i="4"/>
  <c r="E483" i="4"/>
  <c r="F483" i="4"/>
  <c r="G483" i="4"/>
  <c r="H483" i="4"/>
  <c r="E482" i="4"/>
  <c r="F482" i="4"/>
  <c r="G482" i="4"/>
  <c r="H482" i="4"/>
  <c r="E481" i="4"/>
  <c r="F481" i="4"/>
  <c r="G481" i="4"/>
  <c r="H481" i="4"/>
  <c r="E480" i="4"/>
  <c r="F480" i="4"/>
  <c r="G480" i="4"/>
  <c r="H480" i="4"/>
  <c r="E479" i="4"/>
  <c r="F479" i="4"/>
  <c r="G479" i="4"/>
  <c r="H479" i="4"/>
  <c r="E478" i="4"/>
  <c r="F478" i="4"/>
  <c r="G478" i="4"/>
  <c r="H478" i="4"/>
  <c r="E477" i="4"/>
  <c r="F477" i="4"/>
  <c r="G477" i="4"/>
  <c r="H477" i="4"/>
  <c r="E476" i="4"/>
  <c r="F476" i="4"/>
  <c r="G476" i="4"/>
  <c r="H476" i="4"/>
  <c r="E475" i="4"/>
  <c r="F475" i="4"/>
  <c r="G475" i="4"/>
  <c r="H475" i="4"/>
  <c r="E474" i="4"/>
  <c r="F474" i="4"/>
  <c r="G474" i="4"/>
  <c r="H474" i="4"/>
  <c r="E473" i="4"/>
  <c r="F473" i="4"/>
  <c r="G473" i="4"/>
  <c r="H473" i="4"/>
  <c r="E472" i="4"/>
  <c r="F472" i="4"/>
  <c r="G472" i="4"/>
  <c r="H472" i="4"/>
  <c r="E471" i="4"/>
  <c r="F471" i="4"/>
  <c r="G471" i="4"/>
  <c r="H471" i="4"/>
  <c r="E470" i="4"/>
  <c r="F470" i="4"/>
  <c r="G470" i="4"/>
  <c r="H470" i="4"/>
  <c r="E469" i="4"/>
  <c r="F469" i="4"/>
  <c r="G469" i="4"/>
  <c r="H469" i="4"/>
  <c r="E468" i="4"/>
  <c r="F468" i="4"/>
  <c r="G468" i="4"/>
  <c r="H468" i="4"/>
  <c r="E467" i="4"/>
  <c r="F467" i="4"/>
  <c r="G467" i="4"/>
  <c r="H467" i="4"/>
  <c r="E466" i="4"/>
  <c r="F466" i="4"/>
  <c r="G466" i="4"/>
  <c r="H466" i="4"/>
  <c r="E465" i="4"/>
  <c r="F465" i="4"/>
  <c r="G465" i="4"/>
  <c r="H465" i="4"/>
  <c r="E464" i="4"/>
  <c r="F464" i="4"/>
  <c r="G464" i="4"/>
  <c r="H464" i="4"/>
  <c r="E463" i="4"/>
  <c r="F463" i="4"/>
  <c r="G463" i="4"/>
  <c r="H463" i="4"/>
  <c r="E462" i="4"/>
  <c r="F462" i="4"/>
  <c r="G462" i="4"/>
  <c r="H462" i="4"/>
  <c r="E461" i="4"/>
  <c r="F461" i="4"/>
  <c r="G461" i="4"/>
  <c r="H461" i="4"/>
  <c r="E460" i="4"/>
  <c r="F460" i="4"/>
  <c r="G460" i="4"/>
  <c r="H460" i="4"/>
  <c r="E459" i="4"/>
  <c r="F459" i="4"/>
  <c r="G459" i="4"/>
  <c r="H459" i="4"/>
  <c r="E458" i="4"/>
  <c r="F458" i="4"/>
  <c r="G458" i="4"/>
  <c r="H458" i="4"/>
  <c r="E457" i="4"/>
  <c r="F457" i="4"/>
  <c r="G457" i="4"/>
  <c r="H457" i="4"/>
  <c r="E456" i="4"/>
  <c r="F456" i="4"/>
  <c r="G456" i="4"/>
  <c r="H456" i="4"/>
  <c r="E455" i="4"/>
  <c r="F455" i="4"/>
  <c r="G455" i="4"/>
  <c r="H455" i="4"/>
  <c r="E454" i="4"/>
  <c r="F454" i="4"/>
  <c r="G454" i="4"/>
  <c r="H454" i="4"/>
  <c r="E453" i="4"/>
  <c r="F453" i="4"/>
  <c r="G453" i="4"/>
  <c r="H453" i="4"/>
  <c r="E452" i="4"/>
  <c r="F452" i="4"/>
  <c r="G452" i="4"/>
  <c r="H452" i="4"/>
  <c r="E451" i="4"/>
  <c r="F451" i="4"/>
  <c r="G451" i="4"/>
  <c r="H451" i="4"/>
  <c r="E450" i="4"/>
  <c r="F450" i="4"/>
  <c r="G450" i="4"/>
  <c r="H450" i="4"/>
  <c r="E449" i="4"/>
  <c r="F449" i="4"/>
  <c r="G449" i="4"/>
  <c r="H449" i="4"/>
  <c r="E448" i="4"/>
  <c r="F448" i="4"/>
  <c r="G448" i="4"/>
  <c r="H448" i="4"/>
  <c r="E447" i="4"/>
  <c r="F447" i="4"/>
  <c r="G447" i="4"/>
  <c r="H447" i="4"/>
  <c r="E446" i="4"/>
  <c r="F446" i="4"/>
  <c r="G446" i="4"/>
  <c r="H446" i="4"/>
  <c r="E445" i="4"/>
  <c r="F445" i="4"/>
  <c r="G445" i="4"/>
  <c r="H445" i="4"/>
  <c r="E444" i="4"/>
  <c r="F444" i="4"/>
  <c r="G444" i="4"/>
  <c r="H444" i="4"/>
  <c r="E443" i="4"/>
  <c r="F443" i="4"/>
  <c r="G443" i="4"/>
  <c r="H443" i="4"/>
  <c r="E442" i="4"/>
  <c r="F442" i="4"/>
  <c r="G442" i="4"/>
  <c r="H442" i="4"/>
  <c r="E441" i="4"/>
  <c r="F441" i="4"/>
  <c r="G441" i="4"/>
  <c r="H441" i="4"/>
  <c r="E440" i="4"/>
  <c r="F440" i="4"/>
  <c r="G440" i="4"/>
  <c r="H440" i="4"/>
  <c r="E439" i="4"/>
  <c r="F439" i="4"/>
  <c r="G439" i="4"/>
  <c r="H439" i="4"/>
  <c r="E438" i="4"/>
  <c r="F438" i="4"/>
  <c r="G438" i="4"/>
  <c r="H438" i="4"/>
  <c r="E437" i="4"/>
  <c r="F437" i="4"/>
  <c r="G437" i="4"/>
  <c r="H437" i="4"/>
  <c r="E436" i="4"/>
  <c r="F436" i="4"/>
  <c r="G436" i="4"/>
  <c r="H436" i="4"/>
  <c r="E435" i="4"/>
  <c r="F435" i="4"/>
  <c r="G435" i="4"/>
  <c r="H435" i="4"/>
  <c r="E434" i="4"/>
  <c r="F434" i="4"/>
  <c r="G434" i="4"/>
  <c r="H434" i="4"/>
  <c r="E433" i="4"/>
  <c r="F433" i="4"/>
  <c r="G433" i="4"/>
  <c r="H433" i="4"/>
  <c r="E432" i="4"/>
  <c r="F432" i="4"/>
  <c r="G432" i="4"/>
  <c r="H432" i="4"/>
  <c r="E431" i="4"/>
  <c r="F431" i="4"/>
  <c r="G431" i="4"/>
  <c r="H431" i="4"/>
  <c r="E430" i="4"/>
  <c r="F430" i="4"/>
  <c r="G430" i="4"/>
  <c r="H430" i="4"/>
  <c r="E429" i="4"/>
  <c r="F429" i="4"/>
  <c r="G429" i="4"/>
  <c r="H429" i="4"/>
  <c r="E428" i="4"/>
  <c r="F428" i="4"/>
  <c r="G428" i="4"/>
  <c r="H428" i="4"/>
  <c r="E427" i="4"/>
  <c r="F427" i="4"/>
  <c r="G427" i="4"/>
  <c r="H427" i="4"/>
  <c r="E426" i="4"/>
  <c r="F426" i="4"/>
  <c r="G426" i="4"/>
  <c r="H426" i="4"/>
  <c r="E425" i="4"/>
  <c r="F425" i="4"/>
  <c r="G425" i="4"/>
  <c r="H425" i="4"/>
  <c r="E424" i="4"/>
  <c r="F424" i="4"/>
  <c r="G424" i="4"/>
  <c r="H424" i="4"/>
  <c r="E423" i="4"/>
  <c r="F423" i="4"/>
  <c r="G423" i="4"/>
  <c r="H423" i="4"/>
  <c r="E422" i="4"/>
  <c r="F422" i="4"/>
  <c r="G422" i="4"/>
  <c r="H422" i="4"/>
  <c r="E421" i="4"/>
  <c r="F421" i="4"/>
  <c r="G421" i="4"/>
  <c r="H421" i="4"/>
  <c r="E420" i="4"/>
  <c r="F420" i="4"/>
  <c r="G420" i="4"/>
  <c r="H420" i="4"/>
  <c r="E419" i="4"/>
  <c r="F419" i="4"/>
  <c r="G419" i="4"/>
  <c r="H419" i="4"/>
  <c r="E418" i="4"/>
  <c r="F418" i="4"/>
  <c r="G418" i="4"/>
  <c r="H418" i="4"/>
  <c r="E417" i="4"/>
  <c r="F417" i="4"/>
  <c r="G417" i="4"/>
  <c r="H417" i="4"/>
  <c r="E416" i="4"/>
  <c r="F416" i="4"/>
  <c r="G416" i="4"/>
  <c r="H416" i="4"/>
  <c r="E415" i="4"/>
  <c r="F415" i="4"/>
  <c r="G415" i="4"/>
  <c r="H415" i="4"/>
  <c r="E414" i="4"/>
  <c r="F414" i="4"/>
  <c r="G414" i="4"/>
  <c r="H414" i="4"/>
  <c r="E413" i="4"/>
  <c r="F413" i="4"/>
  <c r="G413" i="4"/>
  <c r="H413" i="4"/>
  <c r="E412" i="4"/>
  <c r="F412" i="4"/>
  <c r="G412" i="4"/>
  <c r="H412" i="4"/>
  <c r="E411" i="4"/>
  <c r="F411" i="4"/>
  <c r="G411" i="4"/>
  <c r="H411" i="4"/>
  <c r="E410" i="4"/>
  <c r="F410" i="4"/>
  <c r="G410" i="4"/>
  <c r="H410" i="4"/>
  <c r="E409" i="4"/>
  <c r="F409" i="4"/>
  <c r="G409" i="4"/>
  <c r="H409" i="4"/>
  <c r="E408" i="4"/>
  <c r="F408" i="4"/>
  <c r="G408" i="4"/>
  <c r="H408" i="4"/>
  <c r="E407" i="4"/>
  <c r="F407" i="4"/>
  <c r="G407" i="4"/>
  <c r="H407" i="4"/>
  <c r="E406" i="4"/>
  <c r="F406" i="4"/>
  <c r="G406" i="4"/>
  <c r="H406" i="4"/>
  <c r="E405" i="4"/>
  <c r="F405" i="4"/>
  <c r="G405" i="4"/>
  <c r="H405" i="4"/>
  <c r="E404" i="4"/>
  <c r="F404" i="4"/>
  <c r="G404" i="4"/>
  <c r="H404" i="4"/>
  <c r="E403" i="4"/>
  <c r="F403" i="4"/>
  <c r="G403" i="4"/>
  <c r="H403" i="4"/>
  <c r="E402" i="4"/>
  <c r="F402" i="4"/>
  <c r="G402" i="4"/>
  <c r="H402" i="4"/>
  <c r="E401" i="4"/>
  <c r="F401" i="4"/>
  <c r="G401" i="4"/>
  <c r="H401" i="4"/>
  <c r="E400" i="4"/>
  <c r="F400" i="4"/>
  <c r="G400" i="4"/>
  <c r="H400" i="4"/>
  <c r="E399" i="4"/>
  <c r="F399" i="4"/>
  <c r="G399" i="4"/>
  <c r="H399" i="4"/>
  <c r="E398" i="4"/>
  <c r="F398" i="4"/>
  <c r="G398" i="4"/>
  <c r="H398" i="4"/>
  <c r="E397" i="4"/>
  <c r="F397" i="4"/>
  <c r="G397" i="4"/>
  <c r="H397" i="4"/>
  <c r="E396" i="4"/>
  <c r="F396" i="4"/>
  <c r="G396" i="4"/>
  <c r="H396" i="4"/>
  <c r="E395" i="4"/>
  <c r="F395" i="4"/>
  <c r="G395" i="4"/>
  <c r="H395" i="4"/>
  <c r="E394" i="4"/>
  <c r="F394" i="4"/>
  <c r="G394" i="4"/>
  <c r="H394" i="4"/>
  <c r="E393" i="4"/>
  <c r="F393" i="4"/>
  <c r="G393" i="4"/>
  <c r="H393" i="4"/>
  <c r="E392" i="4"/>
  <c r="F392" i="4"/>
  <c r="G392" i="4"/>
  <c r="H392" i="4"/>
  <c r="E391" i="4"/>
  <c r="F391" i="4"/>
  <c r="G391" i="4"/>
  <c r="H391" i="4"/>
  <c r="E390" i="4"/>
  <c r="F390" i="4"/>
  <c r="G390" i="4"/>
  <c r="H390" i="4"/>
  <c r="E389" i="4"/>
  <c r="F389" i="4"/>
  <c r="G389" i="4"/>
  <c r="H389" i="4"/>
  <c r="E388" i="4"/>
  <c r="F388" i="4"/>
  <c r="G388" i="4"/>
  <c r="H388" i="4"/>
  <c r="E387" i="4"/>
  <c r="F387" i="4"/>
  <c r="G387" i="4"/>
  <c r="H387" i="4"/>
  <c r="E386" i="4"/>
  <c r="F386" i="4"/>
  <c r="G386" i="4"/>
  <c r="H386" i="4"/>
  <c r="E385" i="4"/>
  <c r="F385" i="4"/>
  <c r="G385" i="4"/>
  <c r="H385" i="4"/>
  <c r="E384" i="4"/>
  <c r="F384" i="4"/>
  <c r="G384" i="4"/>
  <c r="H384" i="4"/>
  <c r="E383" i="4"/>
  <c r="F383" i="4"/>
  <c r="G383" i="4"/>
  <c r="H383" i="4"/>
  <c r="E382" i="4"/>
  <c r="F382" i="4"/>
  <c r="G382" i="4"/>
  <c r="H382" i="4"/>
  <c r="E381" i="4"/>
  <c r="F381" i="4"/>
  <c r="G381" i="4"/>
  <c r="H381" i="4"/>
  <c r="E380" i="4"/>
  <c r="F380" i="4"/>
  <c r="G380" i="4"/>
  <c r="H380" i="4"/>
  <c r="E379" i="4"/>
  <c r="F379" i="4"/>
  <c r="G379" i="4"/>
  <c r="H379" i="4"/>
  <c r="E378" i="4"/>
  <c r="F378" i="4"/>
  <c r="G378" i="4"/>
  <c r="H378" i="4"/>
  <c r="E377" i="4"/>
  <c r="F377" i="4"/>
  <c r="G377" i="4"/>
  <c r="H377" i="4"/>
  <c r="E376" i="4"/>
  <c r="F376" i="4"/>
  <c r="G376" i="4"/>
  <c r="H376" i="4"/>
  <c r="E375" i="4"/>
  <c r="F375" i="4"/>
  <c r="G375" i="4"/>
  <c r="H375" i="4"/>
  <c r="E374" i="4"/>
  <c r="F374" i="4"/>
  <c r="G374" i="4"/>
  <c r="H374" i="4"/>
  <c r="E373" i="4"/>
  <c r="F373" i="4"/>
  <c r="G373" i="4"/>
  <c r="H373" i="4"/>
  <c r="E372" i="4"/>
  <c r="F372" i="4"/>
  <c r="G372" i="4"/>
  <c r="H372" i="4"/>
  <c r="E371" i="4"/>
  <c r="F371" i="4"/>
  <c r="G371" i="4"/>
  <c r="H371" i="4"/>
  <c r="E370" i="4"/>
  <c r="F370" i="4"/>
  <c r="G370" i="4"/>
  <c r="H370" i="4"/>
  <c r="E369" i="4"/>
  <c r="F369" i="4"/>
  <c r="G369" i="4"/>
  <c r="H369" i="4"/>
  <c r="E368" i="4"/>
  <c r="F368" i="4"/>
  <c r="G368" i="4"/>
  <c r="H368" i="4"/>
  <c r="E367" i="4"/>
  <c r="F367" i="4"/>
  <c r="G367" i="4"/>
  <c r="H367" i="4"/>
  <c r="E366" i="4"/>
  <c r="F366" i="4"/>
  <c r="G366" i="4"/>
  <c r="H366" i="4"/>
  <c r="E365" i="4"/>
  <c r="F365" i="4"/>
  <c r="G365" i="4"/>
  <c r="H365" i="4"/>
  <c r="E364" i="4"/>
  <c r="F364" i="4"/>
  <c r="G364" i="4"/>
  <c r="H364" i="4"/>
  <c r="E363" i="4"/>
  <c r="F363" i="4"/>
  <c r="G363" i="4"/>
  <c r="H363" i="4"/>
  <c r="E362" i="4"/>
  <c r="F362" i="4"/>
  <c r="G362" i="4"/>
  <c r="H362" i="4"/>
  <c r="E361" i="4"/>
  <c r="F361" i="4"/>
  <c r="G361" i="4"/>
  <c r="H361" i="4"/>
  <c r="E360" i="4"/>
  <c r="F360" i="4"/>
  <c r="G360" i="4"/>
  <c r="H360" i="4"/>
  <c r="E359" i="4"/>
  <c r="F359" i="4"/>
  <c r="G359" i="4"/>
  <c r="H359" i="4"/>
  <c r="E358" i="4"/>
  <c r="F358" i="4"/>
  <c r="G358" i="4"/>
  <c r="H358" i="4"/>
  <c r="E357" i="4"/>
  <c r="F357" i="4"/>
  <c r="G357" i="4"/>
  <c r="H357" i="4"/>
  <c r="E356" i="4"/>
  <c r="F356" i="4"/>
  <c r="G356" i="4"/>
  <c r="H356" i="4"/>
  <c r="E355" i="4"/>
  <c r="F355" i="4"/>
  <c r="G355" i="4"/>
  <c r="H355" i="4"/>
  <c r="E354" i="4"/>
  <c r="F354" i="4"/>
  <c r="G354" i="4"/>
  <c r="H354" i="4"/>
  <c r="E353" i="4"/>
  <c r="F353" i="4"/>
  <c r="G353" i="4"/>
  <c r="H353" i="4"/>
  <c r="E352" i="4"/>
  <c r="F352" i="4"/>
  <c r="G352" i="4"/>
  <c r="H352" i="4"/>
  <c r="E351" i="4"/>
  <c r="F351" i="4"/>
  <c r="G351" i="4"/>
  <c r="H351" i="4"/>
  <c r="E350" i="4"/>
  <c r="F350" i="4"/>
  <c r="G350" i="4"/>
  <c r="H350" i="4"/>
  <c r="E349" i="4"/>
  <c r="F349" i="4"/>
  <c r="G349" i="4"/>
  <c r="H349" i="4"/>
  <c r="E348" i="4"/>
  <c r="F348" i="4"/>
  <c r="G348" i="4"/>
  <c r="H348" i="4"/>
  <c r="E347" i="4"/>
  <c r="F347" i="4"/>
  <c r="G347" i="4"/>
  <c r="H347" i="4"/>
  <c r="E346" i="4"/>
  <c r="F346" i="4"/>
  <c r="G346" i="4"/>
  <c r="H346" i="4"/>
  <c r="E345" i="4"/>
  <c r="F345" i="4"/>
  <c r="G345" i="4"/>
  <c r="H345" i="4"/>
  <c r="E344" i="4"/>
  <c r="F344" i="4"/>
  <c r="G344" i="4"/>
  <c r="H344" i="4"/>
  <c r="E343" i="4"/>
  <c r="F343" i="4"/>
  <c r="G343" i="4"/>
  <c r="H343" i="4"/>
  <c r="E342" i="4"/>
  <c r="F342" i="4"/>
  <c r="G342" i="4"/>
  <c r="H342" i="4"/>
  <c r="E341" i="4"/>
  <c r="F341" i="4"/>
  <c r="G341" i="4"/>
  <c r="H341" i="4"/>
  <c r="E340" i="4"/>
  <c r="F340" i="4"/>
  <c r="G340" i="4"/>
  <c r="H340" i="4"/>
  <c r="E339" i="4"/>
  <c r="F339" i="4"/>
  <c r="G339" i="4"/>
  <c r="H339" i="4"/>
  <c r="E338" i="4"/>
  <c r="F338" i="4"/>
  <c r="G338" i="4"/>
  <c r="H338" i="4"/>
  <c r="E337" i="4"/>
  <c r="F337" i="4"/>
  <c r="G337" i="4"/>
  <c r="H337" i="4"/>
  <c r="E336" i="4"/>
  <c r="F336" i="4"/>
  <c r="G336" i="4"/>
  <c r="H336" i="4"/>
  <c r="E335" i="4"/>
  <c r="F335" i="4"/>
  <c r="G335" i="4"/>
  <c r="H335" i="4"/>
  <c r="E334" i="4"/>
  <c r="F334" i="4"/>
  <c r="G334" i="4"/>
  <c r="H334" i="4"/>
  <c r="E333" i="4"/>
  <c r="F333" i="4"/>
  <c r="G333" i="4"/>
  <c r="H333" i="4"/>
  <c r="E332" i="4"/>
  <c r="F332" i="4"/>
  <c r="G332" i="4"/>
  <c r="H332" i="4"/>
  <c r="E331" i="4"/>
  <c r="F331" i="4"/>
  <c r="G331" i="4"/>
  <c r="H331" i="4"/>
  <c r="E330" i="4"/>
  <c r="F330" i="4"/>
  <c r="G330" i="4"/>
  <c r="H330" i="4"/>
  <c r="E329" i="4"/>
  <c r="F329" i="4"/>
  <c r="G329" i="4"/>
  <c r="H329" i="4"/>
  <c r="E328" i="4"/>
  <c r="F328" i="4"/>
  <c r="G328" i="4"/>
  <c r="H328" i="4"/>
  <c r="E327" i="4"/>
  <c r="F327" i="4"/>
  <c r="G327" i="4"/>
  <c r="H327" i="4"/>
  <c r="E326" i="4"/>
  <c r="F326" i="4"/>
  <c r="G326" i="4"/>
  <c r="H326" i="4"/>
  <c r="E325" i="4"/>
  <c r="F325" i="4"/>
  <c r="G325" i="4"/>
  <c r="H325" i="4"/>
  <c r="E324" i="4"/>
  <c r="F324" i="4"/>
  <c r="G324" i="4"/>
  <c r="H324" i="4"/>
  <c r="E323" i="4"/>
  <c r="F323" i="4"/>
  <c r="G323" i="4"/>
  <c r="H323" i="4"/>
  <c r="E322" i="4"/>
  <c r="F322" i="4"/>
  <c r="G322" i="4"/>
  <c r="H322" i="4"/>
  <c r="E321" i="4"/>
  <c r="F321" i="4"/>
  <c r="G321" i="4"/>
  <c r="H321" i="4"/>
  <c r="E320" i="4"/>
  <c r="F320" i="4"/>
  <c r="G320" i="4"/>
  <c r="H320" i="4"/>
  <c r="E319" i="4"/>
  <c r="F319" i="4"/>
  <c r="G319" i="4"/>
  <c r="H319" i="4"/>
  <c r="E318" i="4"/>
  <c r="F318" i="4"/>
  <c r="G318" i="4"/>
  <c r="H318" i="4"/>
  <c r="E317" i="4"/>
  <c r="F317" i="4"/>
  <c r="G317" i="4"/>
  <c r="H317" i="4"/>
  <c r="E316" i="4"/>
  <c r="F316" i="4"/>
  <c r="G316" i="4"/>
  <c r="H316" i="4"/>
  <c r="E315" i="4"/>
  <c r="F315" i="4"/>
  <c r="G315" i="4"/>
  <c r="H315" i="4"/>
  <c r="E314" i="4"/>
  <c r="F314" i="4"/>
  <c r="G314" i="4"/>
  <c r="H314" i="4"/>
  <c r="E313" i="4"/>
  <c r="F313" i="4"/>
  <c r="G313" i="4"/>
  <c r="H313" i="4"/>
  <c r="E312" i="4"/>
  <c r="F312" i="4"/>
  <c r="G312" i="4"/>
  <c r="H312" i="4"/>
  <c r="E311" i="4"/>
  <c r="F311" i="4"/>
  <c r="G311" i="4"/>
  <c r="H311" i="4"/>
  <c r="E310" i="4"/>
  <c r="F310" i="4"/>
  <c r="G310" i="4"/>
  <c r="H310" i="4"/>
  <c r="E309" i="4"/>
  <c r="F309" i="4"/>
  <c r="G309" i="4"/>
  <c r="H309" i="4"/>
  <c r="E308" i="4"/>
  <c r="F308" i="4"/>
  <c r="G308" i="4"/>
  <c r="H308" i="4"/>
  <c r="E307" i="4"/>
  <c r="F307" i="4"/>
  <c r="G307" i="4"/>
  <c r="H307" i="4"/>
  <c r="E306" i="4"/>
  <c r="F306" i="4"/>
  <c r="G306" i="4"/>
  <c r="H306" i="4"/>
  <c r="E305" i="4"/>
  <c r="F305" i="4"/>
  <c r="G305" i="4"/>
  <c r="H305" i="4"/>
  <c r="E304" i="4"/>
  <c r="F304" i="4"/>
  <c r="G304" i="4"/>
  <c r="H304" i="4"/>
  <c r="E303" i="4"/>
  <c r="F303" i="4"/>
  <c r="G303" i="4"/>
  <c r="H303" i="4"/>
  <c r="E302" i="4"/>
  <c r="F302" i="4"/>
  <c r="G302" i="4"/>
  <c r="H302" i="4"/>
  <c r="E301" i="4"/>
  <c r="F301" i="4"/>
  <c r="G301" i="4"/>
  <c r="H301" i="4"/>
  <c r="E300" i="4"/>
  <c r="F300" i="4"/>
  <c r="G300" i="4"/>
  <c r="H300" i="4"/>
  <c r="E299" i="4"/>
  <c r="F299" i="4"/>
  <c r="G299" i="4"/>
  <c r="H299" i="4"/>
  <c r="E298" i="4"/>
  <c r="F298" i="4"/>
  <c r="G298" i="4"/>
  <c r="H298" i="4"/>
  <c r="E297" i="4"/>
  <c r="F297" i="4"/>
  <c r="G297" i="4"/>
  <c r="H297" i="4"/>
  <c r="E296" i="4"/>
  <c r="F296" i="4"/>
  <c r="G296" i="4"/>
  <c r="H296" i="4"/>
  <c r="E295" i="4"/>
  <c r="F295" i="4"/>
  <c r="G295" i="4"/>
  <c r="H295" i="4"/>
  <c r="E294" i="4"/>
  <c r="F294" i="4"/>
  <c r="G294" i="4"/>
  <c r="H294" i="4"/>
  <c r="E293" i="4"/>
  <c r="F293" i="4"/>
  <c r="G293" i="4"/>
  <c r="H293" i="4"/>
  <c r="E292" i="4"/>
  <c r="F292" i="4"/>
  <c r="G292" i="4"/>
  <c r="H292" i="4"/>
  <c r="E291" i="4"/>
  <c r="F291" i="4"/>
  <c r="G291" i="4"/>
  <c r="H291" i="4"/>
  <c r="E290" i="4"/>
  <c r="F290" i="4"/>
  <c r="G290" i="4"/>
  <c r="H290" i="4"/>
  <c r="E289" i="4"/>
  <c r="F289" i="4"/>
  <c r="G289" i="4"/>
  <c r="H289" i="4"/>
  <c r="E288" i="4"/>
  <c r="F288" i="4"/>
  <c r="G288" i="4"/>
  <c r="H288" i="4"/>
  <c r="E287" i="4"/>
  <c r="F287" i="4"/>
  <c r="G287" i="4"/>
  <c r="H287" i="4"/>
  <c r="E286" i="4"/>
  <c r="F286" i="4"/>
  <c r="G286" i="4"/>
  <c r="H286" i="4"/>
  <c r="E285" i="4"/>
  <c r="F285" i="4"/>
  <c r="G285" i="4"/>
  <c r="H285" i="4"/>
  <c r="E284" i="4"/>
  <c r="F284" i="4"/>
  <c r="G284" i="4"/>
  <c r="H284" i="4"/>
  <c r="E283" i="4"/>
  <c r="F283" i="4"/>
  <c r="G283" i="4"/>
  <c r="H283" i="4"/>
  <c r="E282" i="4"/>
  <c r="F282" i="4"/>
  <c r="G282" i="4"/>
  <c r="H282" i="4"/>
  <c r="E281" i="4"/>
  <c r="F281" i="4"/>
  <c r="G281" i="4"/>
  <c r="H281" i="4"/>
  <c r="E280" i="4"/>
  <c r="F280" i="4"/>
  <c r="G280" i="4"/>
  <c r="H280" i="4"/>
  <c r="E279" i="4"/>
  <c r="F279" i="4"/>
  <c r="G279" i="4"/>
  <c r="H279" i="4"/>
  <c r="E278" i="4"/>
  <c r="F278" i="4"/>
  <c r="G278" i="4"/>
  <c r="H278" i="4"/>
  <c r="E277" i="4"/>
  <c r="F277" i="4"/>
  <c r="G277" i="4"/>
  <c r="H277" i="4"/>
  <c r="E276" i="4"/>
  <c r="F276" i="4"/>
  <c r="G276" i="4"/>
  <c r="H276" i="4"/>
  <c r="E275" i="4"/>
  <c r="F275" i="4"/>
  <c r="G275" i="4"/>
  <c r="H275" i="4"/>
  <c r="E274" i="4"/>
  <c r="F274" i="4"/>
  <c r="G274" i="4"/>
  <c r="H274" i="4"/>
  <c r="E273" i="4"/>
  <c r="F273" i="4"/>
  <c r="G273" i="4"/>
  <c r="H273" i="4"/>
  <c r="E272" i="4"/>
  <c r="F272" i="4"/>
  <c r="G272" i="4"/>
  <c r="H272" i="4"/>
  <c r="E271" i="4"/>
  <c r="F271" i="4"/>
  <c r="G271" i="4"/>
  <c r="H271" i="4"/>
  <c r="E270" i="4"/>
  <c r="F270" i="4"/>
  <c r="G270" i="4"/>
  <c r="H270" i="4"/>
  <c r="E269" i="4"/>
  <c r="F269" i="4"/>
  <c r="G269" i="4"/>
  <c r="H269" i="4"/>
  <c r="E268" i="4"/>
  <c r="F268" i="4"/>
  <c r="G268" i="4"/>
  <c r="H268" i="4"/>
  <c r="E267" i="4"/>
  <c r="F267" i="4"/>
  <c r="G267" i="4"/>
  <c r="H267" i="4"/>
  <c r="E266" i="4"/>
  <c r="F266" i="4"/>
  <c r="G266" i="4"/>
  <c r="H266" i="4"/>
  <c r="E265" i="4"/>
  <c r="F265" i="4"/>
  <c r="G265" i="4"/>
  <c r="H265" i="4"/>
  <c r="E264" i="4"/>
  <c r="F264" i="4"/>
  <c r="G264" i="4"/>
  <c r="H264" i="4"/>
  <c r="E263" i="4"/>
  <c r="F263" i="4"/>
  <c r="G263" i="4"/>
  <c r="H263" i="4"/>
  <c r="E262" i="4"/>
  <c r="F262" i="4"/>
  <c r="G262" i="4"/>
  <c r="H262" i="4"/>
  <c r="E261" i="4"/>
  <c r="F261" i="4"/>
  <c r="G261" i="4"/>
  <c r="H261" i="4"/>
  <c r="E260" i="4"/>
  <c r="F260" i="4"/>
  <c r="G260" i="4"/>
  <c r="H260" i="4"/>
  <c r="E259" i="4"/>
  <c r="F259" i="4"/>
  <c r="G259" i="4"/>
  <c r="H259" i="4"/>
  <c r="E258" i="4"/>
  <c r="F258" i="4"/>
  <c r="G258" i="4"/>
  <c r="H258" i="4"/>
  <c r="E257" i="4"/>
  <c r="F257" i="4"/>
  <c r="G257" i="4"/>
  <c r="H257" i="4"/>
  <c r="E256" i="4"/>
  <c r="F256" i="4"/>
  <c r="G256" i="4"/>
  <c r="H256" i="4"/>
  <c r="E255" i="4"/>
  <c r="F255" i="4"/>
  <c r="G255" i="4"/>
  <c r="H255" i="4"/>
  <c r="E254" i="4"/>
  <c r="F254" i="4"/>
  <c r="G254" i="4"/>
  <c r="H254" i="4"/>
  <c r="E253" i="4"/>
  <c r="F253" i="4"/>
  <c r="G253" i="4"/>
  <c r="H253" i="4"/>
  <c r="E252" i="4"/>
  <c r="F252" i="4"/>
  <c r="G252" i="4"/>
  <c r="H252" i="4"/>
  <c r="E251" i="4"/>
  <c r="F251" i="4"/>
  <c r="G251" i="4"/>
  <c r="H251" i="4"/>
  <c r="E250" i="4"/>
  <c r="F250" i="4"/>
  <c r="G250" i="4"/>
  <c r="H250" i="4"/>
  <c r="E249" i="4"/>
  <c r="F249" i="4"/>
  <c r="G249" i="4"/>
  <c r="H249" i="4"/>
  <c r="E248" i="4"/>
  <c r="F248" i="4"/>
  <c r="G248" i="4"/>
  <c r="H248" i="4"/>
  <c r="E247" i="4"/>
  <c r="F247" i="4"/>
  <c r="G247" i="4"/>
  <c r="H247" i="4"/>
  <c r="E246" i="4"/>
  <c r="F246" i="4"/>
  <c r="G246" i="4"/>
  <c r="H246" i="4"/>
  <c r="E245" i="4"/>
  <c r="F245" i="4"/>
  <c r="G245" i="4"/>
  <c r="H245" i="4"/>
  <c r="E244" i="4"/>
  <c r="F244" i="4"/>
  <c r="G244" i="4"/>
  <c r="H244" i="4"/>
  <c r="E243" i="4"/>
  <c r="F243" i="4"/>
  <c r="G243" i="4"/>
  <c r="H243" i="4"/>
  <c r="E242" i="4"/>
  <c r="F242" i="4"/>
  <c r="G242" i="4"/>
  <c r="H242" i="4"/>
  <c r="E241" i="4"/>
  <c r="F241" i="4"/>
  <c r="G241" i="4"/>
  <c r="H241" i="4"/>
  <c r="E240" i="4"/>
  <c r="F240" i="4"/>
  <c r="G240" i="4"/>
  <c r="H240" i="4"/>
  <c r="E239" i="4"/>
  <c r="F239" i="4"/>
  <c r="G239" i="4"/>
  <c r="H239" i="4"/>
  <c r="E238" i="4"/>
  <c r="F238" i="4"/>
  <c r="G238" i="4"/>
  <c r="H238" i="4"/>
  <c r="E237" i="4"/>
  <c r="F237" i="4"/>
  <c r="G237" i="4"/>
  <c r="H237" i="4"/>
  <c r="E236" i="4"/>
  <c r="F236" i="4"/>
  <c r="G236" i="4"/>
  <c r="H236" i="4"/>
  <c r="E235" i="4"/>
  <c r="F235" i="4"/>
  <c r="G235" i="4"/>
  <c r="H235" i="4"/>
  <c r="E234" i="4"/>
  <c r="F234" i="4"/>
  <c r="G234" i="4"/>
  <c r="H234" i="4"/>
  <c r="E233" i="4"/>
  <c r="F233" i="4"/>
  <c r="G233" i="4"/>
  <c r="H233" i="4"/>
  <c r="E232" i="4"/>
  <c r="F232" i="4"/>
  <c r="G232" i="4"/>
  <c r="H232" i="4"/>
  <c r="E231" i="4"/>
  <c r="F231" i="4"/>
  <c r="G231" i="4"/>
  <c r="H231" i="4"/>
  <c r="E230" i="4"/>
  <c r="F230" i="4"/>
  <c r="G230" i="4"/>
  <c r="H230" i="4"/>
  <c r="E229" i="4"/>
  <c r="F229" i="4"/>
  <c r="G229" i="4"/>
  <c r="H229" i="4"/>
  <c r="E228" i="4"/>
  <c r="F228" i="4"/>
  <c r="G228" i="4"/>
  <c r="H228" i="4"/>
  <c r="E227" i="4"/>
  <c r="F227" i="4"/>
  <c r="G227" i="4"/>
  <c r="H227" i="4"/>
  <c r="E226" i="4"/>
  <c r="F226" i="4"/>
  <c r="G226" i="4"/>
  <c r="H226" i="4"/>
  <c r="E225" i="4"/>
  <c r="F225" i="4"/>
  <c r="G225" i="4"/>
  <c r="H225" i="4"/>
  <c r="E224" i="4"/>
  <c r="F224" i="4"/>
  <c r="G224" i="4"/>
  <c r="H224" i="4"/>
  <c r="E223" i="4"/>
  <c r="F223" i="4"/>
  <c r="G223" i="4"/>
  <c r="H223" i="4"/>
  <c r="E222" i="4"/>
  <c r="F222" i="4"/>
  <c r="G222" i="4"/>
  <c r="H222" i="4"/>
  <c r="E221" i="4"/>
  <c r="F221" i="4"/>
  <c r="G221" i="4"/>
  <c r="H221" i="4"/>
  <c r="E220" i="4"/>
  <c r="F220" i="4"/>
  <c r="G220" i="4"/>
  <c r="H220" i="4"/>
  <c r="E219" i="4"/>
  <c r="F219" i="4"/>
  <c r="G219" i="4"/>
  <c r="H219" i="4"/>
  <c r="E218" i="4"/>
  <c r="F218" i="4"/>
  <c r="G218" i="4"/>
  <c r="H218" i="4"/>
  <c r="E217" i="4"/>
  <c r="F217" i="4"/>
  <c r="G217" i="4"/>
  <c r="H217" i="4"/>
  <c r="E216" i="4"/>
  <c r="F216" i="4"/>
  <c r="G216" i="4"/>
  <c r="H216" i="4"/>
  <c r="E215" i="4"/>
  <c r="F215" i="4"/>
  <c r="G215" i="4"/>
  <c r="H215" i="4"/>
  <c r="E214" i="4"/>
  <c r="F214" i="4"/>
  <c r="G214" i="4"/>
  <c r="H214" i="4"/>
  <c r="E213" i="4"/>
  <c r="F213" i="4"/>
  <c r="G213" i="4"/>
  <c r="H213" i="4"/>
  <c r="E212" i="4"/>
  <c r="F212" i="4"/>
  <c r="G212" i="4"/>
  <c r="H212" i="4"/>
  <c r="E211" i="4"/>
  <c r="F211" i="4"/>
  <c r="G211" i="4"/>
  <c r="H211" i="4"/>
  <c r="E210" i="4"/>
  <c r="F210" i="4"/>
  <c r="G210" i="4"/>
  <c r="H210" i="4"/>
  <c r="E209" i="4"/>
  <c r="F209" i="4"/>
  <c r="G209" i="4"/>
  <c r="H209" i="4"/>
  <c r="E208" i="4"/>
  <c r="F208" i="4"/>
  <c r="G208" i="4"/>
  <c r="H208" i="4"/>
  <c r="E207" i="4"/>
  <c r="F207" i="4"/>
  <c r="G207" i="4"/>
  <c r="H207" i="4"/>
  <c r="E206" i="4"/>
  <c r="F206" i="4"/>
  <c r="G206" i="4"/>
  <c r="H206" i="4"/>
  <c r="E205" i="4"/>
  <c r="F205" i="4"/>
  <c r="G205" i="4"/>
  <c r="H205" i="4"/>
  <c r="E204" i="4"/>
  <c r="F204" i="4"/>
  <c r="G204" i="4"/>
  <c r="H204" i="4"/>
  <c r="E203" i="4"/>
  <c r="F203" i="4"/>
  <c r="G203" i="4"/>
  <c r="H203" i="4"/>
  <c r="E202" i="4"/>
  <c r="F202" i="4"/>
  <c r="G202" i="4"/>
  <c r="H202" i="4"/>
  <c r="E201" i="4"/>
  <c r="F201" i="4"/>
  <c r="G201" i="4"/>
  <c r="H201" i="4"/>
  <c r="E200" i="4"/>
  <c r="F200" i="4"/>
  <c r="G200" i="4"/>
  <c r="H200" i="4"/>
  <c r="E199" i="4"/>
  <c r="F199" i="4"/>
  <c r="G199" i="4"/>
  <c r="H199" i="4"/>
  <c r="E198" i="4"/>
  <c r="F198" i="4"/>
  <c r="G198" i="4"/>
  <c r="H198" i="4"/>
  <c r="E197" i="4"/>
  <c r="F197" i="4"/>
  <c r="G197" i="4"/>
  <c r="H197" i="4"/>
  <c r="E196" i="4"/>
  <c r="F196" i="4"/>
  <c r="G196" i="4"/>
  <c r="H196" i="4"/>
  <c r="E195" i="4"/>
  <c r="F195" i="4"/>
  <c r="G195" i="4"/>
  <c r="H195" i="4"/>
  <c r="E194" i="4"/>
  <c r="F194" i="4"/>
  <c r="G194" i="4"/>
  <c r="H194" i="4"/>
  <c r="E193" i="4"/>
  <c r="F193" i="4"/>
  <c r="G193" i="4"/>
  <c r="H193" i="4"/>
  <c r="E192" i="4"/>
  <c r="F192" i="4"/>
  <c r="G192" i="4"/>
  <c r="H192" i="4"/>
  <c r="E191" i="4"/>
  <c r="F191" i="4"/>
  <c r="G191" i="4"/>
  <c r="H191" i="4"/>
  <c r="E190" i="4"/>
  <c r="F190" i="4"/>
  <c r="G190" i="4"/>
  <c r="H190" i="4"/>
  <c r="E189" i="4"/>
  <c r="F189" i="4"/>
  <c r="G189" i="4"/>
  <c r="H189" i="4"/>
  <c r="E188" i="4"/>
  <c r="F188" i="4"/>
  <c r="G188" i="4"/>
  <c r="H188" i="4"/>
  <c r="E187" i="4"/>
  <c r="F187" i="4"/>
  <c r="G187" i="4"/>
  <c r="H187" i="4"/>
  <c r="E186" i="4"/>
  <c r="F186" i="4"/>
  <c r="G186" i="4"/>
  <c r="H186" i="4"/>
  <c r="E185" i="4"/>
  <c r="F185" i="4"/>
  <c r="G185" i="4"/>
  <c r="H185" i="4"/>
  <c r="E184" i="4"/>
  <c r="F184" i="4"/>
  <c r="G184" i="4"/>
  <c r="H184" i="4"/>
  <c r="E183" i="4"/>
  <c r="F183" i="4"/>
  <c r="G183" i="4"/>
  <c r="H183" i="4"/>
  <c r="E182" i="4"/>
  <c r="F182" i="4"/>
  <c r="G182" i="4"/>
  <c r="H182" i="4"/>
  <c r="E181" i="4"/>
  <c r="F181" i="4"/>
  <c r="G181" i="4"/>
  <c r="H181" i="4"/>
  <c r="E180" i="4"/>
  <c r="F180" i="4"/>
  <c r="G180" i="4"/>
  <c r="H180" i="4"/>
  <c r="E179" i="4"/>
  <c r="F179" i="4"/>
  <c r="G179" i="4"/>
  <c r="H179" i="4"/>
  <c r="E178" i="4"/>
  <c r="F178" i="4"/>
  <c r="G178" i="4"/>
  <c r="H178" i="4"/>
  <c r="E177" i="4"/>
  <c r="F177" i="4"/>
  <c r="G177" i="4"/>
  <c r="H177" i="4"/>
  <c r="E176" i="4"/>
  <c r="F176" i="4"/>
  <c r="G176" i="4"/>
  <c r="H176" i="4"/>
  <c r="E175" i="4"/>
  <c r="F175" i="4"/>
  <c r="G175" i="4"/>
  <c r="H175" i="4"/>
  <c r="E174" i="4"/>
  <c r="F174" i="4"/>
  <c r="G174" i="4"/>
  <c r="H174" i="4"/>
  <c r="E173" i="4"/>
  <c r="F173" i="4"/>
  <c r="G173" i="4"/>
  <c r="H173" i="4"/>
  <c r="E172" i="4"/>
  <c r="F172" i="4"/>
  <c r="G172" i="4"/>
  <c r="H172" i="4"/>
  <c r="E171" i="4"/>
  <c r="F171" i="4"/>
  <c r="G171" i="4"/>
  <c r="H171" i="4"/>
  <c r="E170" i="4"/>
  <c r="F170" i="4"/>
  <c r="G170" i="4"/>
  <c r="H170" i="4"/>
  <c r="E169" i="4"/>
  <c r="F169" i="4"/>
  <c r="G169" i="4"/>
  <c r="H169" i="4"/>
  <c r="E168" i="4"/>
  <c r="F168" i="4"/>
  <c r="G168" i="4"/>
  <c r="H168" i="4"/>
  <c r="E167" i="4"/>
  <c r="F167" i="4"/>
  <c r="G167" i="4"/>
  <c r="H167" i="4"/>
  <c r="E166" i="4"/>
  <c r="F166" i="4"/>
  <c r="G166" i="4"/>
  <c r="H166" i="4"/>
  <c r="E165" i="4"/>
  <c r="F165" i="4"/>
  <c r="G165" i="4"/>
  <c r="H165" i="4"/>
  <c r="E164" i="4"/>
  <c r="F164" i="4"/>
  <c r="G164" i="4"/>
  <c r="H164" i="4"/>
  <c r="E163" i="4"/>
  <c r="F163" i="4"/>
  <c r="G163" i="4"/>
  <c r="H163" i="4"/>
  <c r="E162" i="4"/>
  <c r="F162" i="4"/>
  <c r="G162" i="4"/>
  <c r="H162" i="4"/>
  <c r="E161" i="4"/>
  <c r="F161" i="4"/>
  <c r="G161" i="4"/>
  <c r="H161" i="4"/>
  <c r="E160" i="4"/>
  <c r="F160" i="4"/>
  <c r="G160" i="4"/>
  <c r="H160" i="4"/>
  <c r="E159" i="4"/>
  <c r="F159" i="4"/>
  <c r="G159" i="4"/>
  <c r="H159" i="4"/>
  <c r="E158" i="4"/>
  <c r="F158" i="4"/>
  <c r="G158" i="4"/>
  <c r="H158" i="4"/>
  <c r="E157" i="4"/>
  <c r="F157" i="4"/>
  <c r="G157" i="4"/>
  <c r="H157" i="4"/>
  <c r="E156" i="4"/>
  <c r="F156" i="4"/>
  <c r="G156" i="4"/>
  <c r="H156" i="4"/>
  <c r="E155" i="4"/>
  <c r="F155" i="4"/>
  <c r="G155" i="4"/>
  <c r="H155" i="4"/>
  <c r="E154" i="4"/>
  <c r="F154" i="4"/>
  <c r="G154" i="4"/>
  <c r="H154" i="4"/>
  <c r="E153" i="4"/>
  <c r="F153" i="4"/>
  <c r="G153" i="4"/>
  <c r="H153" i="4"/>
  <c r="E152" i="4"/>
  <c r="F152" i="4"/>
  <c r="G152" i="4"/>
  <c r="H152" i="4"/>
  <c r="E151" i="4"/>
  <c r="F151" i="4"/>
  <c r="G151" i="4"/>
  <c r="H151" i="4"/>
  <c r="E150" i="4"/>
  <c r="F150" i="4"/>
  <c r="G150" i="4"/>
  <c r="H150" i="4"/>
  <c r="E149" i="4"/>
  <c r="F149" i="4"/>
  <c r="G149" i="4"/>
  <c r="H149" i="4"/>
  <c r="E148" i="4"/>
  <c r="F148" i="4"/>
  <c r="G148" i="4"/>
  <c r="H148" i="4"/>
  <c r="E147" i="4"/>
  <c r="F147" i="4"/>
  <c r="G147" i="4"/>
  <c r="H147" i="4"/>
  <c r="E146" i="4"/>
  <c r="F146" i="4"/>
  <c r="G146" i="4"/>
  <c r="H146" i="4"/>
  <c r="E145" i="4"/>
  <c r="F145" i="4"/>
  <c r="G145" i="4"/>
  <c r="H145" i="4"/>
  <c r="E144" i="4"/>
  <c r="F144" i="4"/>
  <c r="G144" i="4"/>
  <c r="H144" i="4"/>
  <c r="E143" i="4"/>
  <c r="F143" i="4"/>
  <c r="G143" i="4"/>
  <c r="H143" i="4"/>
  <c r="E142" i="4"/>
  <c r="F142" i="4"/>
  <c r="G142" i="4"/>
  <c r="H142" i="4"/>
  <c r="E141" i="4"/>
  <c r="F141" i="4"/>
  <c r="G141" i="4"/>
  <c r="H141" i="4"/>
  <c r="E140" i="4"/>
  <c r="F140" i="4"/>
  <c r="G140" i="4"/>
  <c r="H140" i="4"/>
  <c r="E139" i="4"/>
  <c r="F139" i="4"/>
  <c r="G139" i="4"/>
  <c r="H139" i="4"/>
  <c r="E138" i="4"/>
  <c r="F138" i="4"/>
  <c r="G138" i="4"/>
  <c r="H138" i="4"/>
  <c r="E137" i="4"/>
  <c r="F137" i="4"/>
  <c r="G137" i="4"/>
  <c r="H137" i="4"/>
  <c r="E136" i="4"/>
  <c r="F136" i="4"/>
  <c r="G136" i="4"/>
  <c r="H136" i="4"/>
  <c r="E135" i="4"/>
  <c r="F135" i="4"/>
  <c r="G135" i="4"/>
  <c r="H135" i="4"/>
  <c r="E134" i="4"/>
  <c r="F134" i="4"/>
  <c r="G134" i="4"/>
  <c r="H134" i="4"/>
  <c r="E133" i="4"/>
  <c r="F133" i="4"/>
  <c r="G133" i="4"/>
  <c r="H133" i="4"/>
  <c r="E132" i="4"/>
  <c r="F132" i="4"/>
  <c r="G132" i="4"/>
  <c r="H132" i="4"/>
  <c r="E131" i="4"/>
  <c r="F131" i="4"/>
  <c r="G131" i="4"/>
  <c r="H131" i="4"/>
  <c r="E130" i="4"/>
  <c r="F130" i="4"/>
  <c r="G130" i="4"/>
  <c r="H130" i="4"/>
  <c r="E129" i="4"/>
  <c r="F129" i="4"/>
  <c r="G129" i="4"/>
  <c r="H129" i="4"/>
  <c r="E128" i="4"/>
  <c r="F128" i="4"/>
  <c r="G128" i="4"/>
  <c r="H128" i="4"/>
  <c r="E127" i="4"/>
  <c r="F127" i="4"/>
  <c r="G127" i="4"/>
  <c r="H127" i="4"/>
  <c r="E126" i="4"/>
  <c r="F126" i="4"/>
  <c r="G126" i="4"/>
  <c r="H126" i="4"/>
  <c r="E125" i="4"/>
  <c r="F125" i="4"/>
  <c r="G125" i="4"/>
  <c r="H125" i="4"/>
  <c r="E124" i="4"/>
  <c r="F124" i="4"/>
  <c r="G124" i="4"/>
  <c r="H124" i="4"/>
  <c r="E123" i="4"/>
  <c r="F123" i="4"/>
  <c r="G123" i="4"/>
  <c r="H123" i="4"/>
  <c r="E122" i="4"/>
  <c r="F122" i="4"/>
  <c r="G122" i="4"/>
  <c r="H122" i="4"/>
  <c r="E121" i="4"/>
  <c r="F121" i="4"/>
  <c r="G121" i="4"/>
  <c r="H121" i="4"/>
  <c r="E120" i="4"/>
  <c r="F120" i="4"/>
  <c r="G120" i="4"/>
  <c r="H120" i="4"/>
  <c r="E119" i="4"/>
  <c r="F119" i="4"/>
  <c r="G119" i="4"/>
  <c r="H119" i="4"/>
  <c r="E118" i="4"/>
  <c r="F118" i="4"/>
  <c r="G118" i="4"/>
  <c r="H118" i="4"/>
  <c r="E117" i="4"/>
  <c r="F117" i="4"/>
  <c r="G117" i="4"/>
  <c r="H117" i="4"/>
  <c r="E116" i="4"/>
  <c r="F116" i="4"/>
  <c r="G116" i="4"/>
  <c r="H116" i="4"/>
  <c r="E115" i="4"/>
  <c r="F115" i="4"/>
  <c r="G115" i="4"/>
  <c r="H115" i="4"/>
  <c r="E114" i="4"/>
  <c r="F114" i="4"/>
  <c r="G114" i="4"/>
  <c r="H114" i="4"/>
  <c r="E113" i="4"/>
  <c r="F113" i="4"/>
  <c r="G113" i="4"/>
  <c r="H113" i="4"/>
  <c r="E112" i="4"/>
  <c r="F112" i="4"/>
  <c r="G112" i="4"/>
  <c r="H112" i="4"/>
  <c r="E111" i="4"/>
  <c r="F111" i="4"/>
  <c r="G111" i="4"/>
  <c r="H111" i="4"/>
  <c r="E110" i="4"/>
  <c r="F110" i="4"/>
  <c r="G110" i="4"/>
  <c r="H110" i="4"/>
  <c r="E109" i="4"/>
  <c r="F109" i="4"/>
  <c r="G109" i="4"/>
  <c r="H109" i="4"/>
  <c r="E108" i="4"/>
  <c r="F108" i="4"/>
  <c r="G108" i="4"/>
  <c r="H108" i="4"/>
  <c r="E107" i="4"/>
  <c r="F107" i="4"/>
  <c r="G107" i="4"/>
  <c r="H107" i="4"/>
  <c r="E106" i="4"/>
  <c r="F106" i="4"/>
  <c r="G106" i="4"/>
  <c r="H106" i="4"/>
  <c r="E105" i="4"/>
  <c r="F105" i="4"/>
  <c r="G105" i="4"/>
  <c r="H105" i="4"/>
  <c r="E104" i="4"/>
  <c r="F104" i="4"/>
  <c r="G104" i="4"/>
  <c r="H104" i="4"/>
  <c r="E103" i="4"/>
  <c r="F103" i="4"/>
  <c r="G103" i="4"/>
  <c r="H103" i="4"/>
  <c r="E102" i="4"/>
  <c r="F102" i="4"/>
  <c r="G102" i="4"/>
  <c r="H102" i="4"/>
  <c r="E101" i="4"/>
  <c r="F101" i="4"/>
  <c r="G101" i="4"/>
  <c r="H101" i="4"/>
  <c r="E100" i="4"/>
  <c r="F100" i="4"/>
  <c r="G100" i="4"/>
  <c r="H100" i="4"/>
  <c r="E99" i="4"/>
  <c r="F99" i="4"/>
  <c r="G99" i="4"/>
  <c r="H99" i="4"/>
  <c r="E98" i="4"/>
  <c r="F98" i="4"/>
  <c r="G98" i="4"/>
  <c r="H98" i="4"/>
  <c r="E97" i="4"/>
  <c r="F97" i="4"/>
  <c r="G97" i="4"/>
  <c r="H97" i="4"/>
  <c r="E96" i="4"/>
  <c r="F96" i="4"/>
  <c r="G96" i="4"/>
  <c r="H96" i="4"/>
  <c r="E95" i="4"/>
  <c r="F95" i="4"/>
  <c r="G95" i="4"/>
  <c r="H95" i="4"/>
  <c r="E94" i="4"/>
  <c r="F94" i="4"/>
  <c r="G94" i="4"/>
  <c r="H94" i="4"/>
  <c r="E93" i="4"/>
  <c r="F93" i="4"/>
  <c r="G93" i="4"/>
  <c r="H93" i="4"/>
  <c r="E92" i="4"/>
  <c r="F92" i="4"/>
  <c r="G92" i="4"/>
  <c r="H92" i="4"/>
  <c r="E91" i="4"/>
  <c r="F91" i="4"/>
  <c r="G91" i="4"/>
  <c r="H91" i="4"/>
  <c r="E90" i="4"/>
  <c r="F90" i="4"/>
  <c r="G90" i="4"/>
  <c r="H90" i="4"/>
  <c r="E89" i="4"/>
  <c r="F89" i="4"/>
  <c r="G89" i="4"/>
  <c r="H89" i="4"/>
  <c r="E88" i="4"/>
  <c r="F88" i="4"/>
  <c r="G88" i="4"/>
  <c r="H88" i="4"/>
  <c r="E87" i="4"/>
  <c r="F87" i="4"/>
  <c r="G87" i="4"/>
  <c r="H87" i="4"/>
  <c r="E86" i="4"/>
  <c r="F86" i="4"/>
  <c r="G86" i="4"/>
  <c r="H86" i="4"/>
  <c r="E85" i="4"/>
  <c r="F85" i="4"/>
  <c r="G85" i="4"/>
  <c r="H85" i="4"/>
  <c r="E84" i="4"/>
  <c r="F84" i="4"/>
  <c r="G84" i="4"/>
  <c r="H84" i="4"/>
  <c r="E83" i="4"/>
  <c r="F83" i="4"/>
  <c r="G83" i="4"/>
  <c r="H83" i="4"/>
  <c r="E82" i="4"/>
  <c r="F82" i="4"/>
  <c r="G82" i="4"/>
  <c r="H82" i="4"/>
  <c r="E81" i="4"/>
  <c r="F81" i="4"/>
  <c r="G81" i="4"/>
  <c r="H81" i="4"/>
  <c r="E80" i="4"/>
  <c r="F80" i="4"/>
  <c r="G80" i="4"/>
  <c r="H80" i="4"/>
  <c r="E79" i="4"/>
  <c r="F79" i="4"/>
  <c r="G79" i="4"/>
  <c r="H79" i="4"/>
  <c r="E78" i="4"/>
  <c r="F78" i="4"/>
  <c r="G78" i="4"/>
  <c r="H78" i="4"/>
  <c r="E77" i="4"/>
  <c r="F77" i="4"/>
  <c r="G77" i="4"/>
  <c r="H77" i="4"/>
  <c r="E76" i="4"/>
  <c r="F76" i="4"/>
  <c r="G76" i="4"/>
  <c r="H76" i="4"/>
  <c r="E75" i="4"/>
  <c r="F75" i="4"/>
  <c r="G75" i="4"/>
  <c r="H75" i="4"/>
  <c r="E74" i="4"/>
  <c r="F74" i="4"/>
  <c r="G74" i="4"/>
  <c r="H74" i="4"/>
  <c r="E73" i="4"/>
  <c r="F73" i="4"/>
  <c r="G73" i="4"/>
  <c r="H73" i="4"/>
  <c r="E72" i="4"/>
  <c r="F72" i="4"/>
  <c r="G72" i="4"/>
  <c r="H72" i="4"/>
  <c r="E71" i="4"/>
  <c r="F71" i="4"/>
  <c r="G71" i="4"/>
  <c r="H71" i="4"/>
  <c r="E70" i="4"/>
  <c r="F70" i="4"/>
  <c r="G70" i="4"/>
  <c r="H70" i="4"/>
  <c r="E69" i="4"/>
  <c r="F69" i="4"/>
  <c r="G69" i="4"/>
  <c r="H69" i="4"/>
  <c r="E68" i="4"/>
  <c r="F68" i="4"/>
  <c r="G68" i="4"/>
  <c r="H68" i="4"/>
  <c r="E67" i="4"/>
  <c r="F67" i="4"/>
  <c r="G67" i="4"/>
  <c r="H67" i="4"/>
  <c r="E66" i="4"/>
  <c r="F66" i="4"/>
  <c r="G66" i="4"/>
  <c r="H66" i="4"/>
  <c r="E65" i="4"/>
  <c r="F65" i="4"/>
  <c r="G65" i="4"/>
  <c r="H65" i="4"/>
  <c r="E64" i="4"/>
  <c r="F64" i="4"/>
  <c r="G64" i="4"/>
  <c r="H64" i="4"/>
  <c r="E63" i="4"/>
  <c r="F63" i="4"/>
  <c r="G63" i="4"/>
  <c r="H63" i="4"/>
  <c r="E62" i="4"/>
  <c r="F62" i="4"/>
  <c r="G62" i="4"/>
  <c r="H62" i="4"/>
  <c r="E61" i="4"/>
  <c r="F61" i="4"/>
  <c r="G61" i="4"/>
  <c r="H61" i="4"/>
  <c r="E60" i="4"/>
  <c r="F60" i="4"/>
  <c r="G60" i="4"/>
  <c r="H60" i="4"/>
  <c r="E59" i="4"/>
  <c r="F59" i="4"/>
  <c r="G59" i="4"/>
  <c r="H59" i="4"/>
  <c r="E58" i="4"/>
  <c r="F58" i="4"/>
  <c r="G58" i="4"/>
  <c r="H58" i="4"/>
  <c r="E57" i="4"/>
  <c r="F57" i="4"/>
  <c r="G57" i="4"/>
  <c r="H57" i="4"/>
  <c r="E56" i="4"/>
  <c r="F56" i="4"/>
  <c r="G56" i="4"/>
  <c r="H56" i="4"/>
  <c r="E55" i="4"/>
  <c r="F55" i="4"/>
  <c r="G55" i="4"/>
  <c r="H55" i="4"/>
  <c r="E54" i="4"/>
  <c r="F54" i="4"/>
  <c r="G54" i="4"/>
  <c r="H54" i="4"/>
  <c r="E53" i="4"/>
  <c r="F53" i="4"/>
  <c r="G53" i="4"/>
  <c r="H53" i="4"/>
  <c r="E52" i="4"/>
  <c r="F52" i="4"/>
  <c r="G52" i="4"/>
  <c r="H52" i="4"/>
  <c r="E51" i="4"/>
  <c r="F51" i="4"/>
  <c r="G51" i="4"/>
  <c r="H51" i="4"/>
  <c r="E50" i="4"/>
  <c r="F50" i="4"/>
  <c r="G50" i="4"/>
  <c r="H50" i="4"/>
  <c r="E49" i="4"/>
  <c r="F49" i="4"/>
  <c r="G49" i="4"/>
  <c r="H49" i="4"/>
  <c r="E48" i="4"/>
  <c r="F48" i="4"/>
  <c r="G48" i="4"/>
  <c r="H48" i="4"/>
  <c r="E47" i="4"/>
  <c r="F47" i="4"/>
  <c r="G47" i="4"/>
  <c r="H47" i="4"/>
  <c r="E46" i="4"/>
  <c r="F46" i="4"/>
  <c r="G46" i="4"/>
  <c r="H46" i="4"/>
  <c r="E45" i="4"/>
  <c r="F45" i="4"/>
  <c r="G45" i="4"/>
  <c r="H45" i="4"/>
  <c r="E44" i="4"/>
  <c r="F44" i="4"/>
  <c r="G44" i="4"/>
  <c r="H44" i="4"/>
  <c r="E43" i="4"/>
  <c r="F43" i="4"/>
  <c r="G43" i="4"/>
  <c r="H43" i="4"/>
  <c r="E42" i="4"/>
  <c r="F42" i="4"/>
  <c r="G42" i="4"/>
  <c r="H42" i="4"/>
  <c r="E41" i="4"/>
  <c r="F41" i="4"/>
  <c r="G41" i="4"/>
  <c r="H41" i="4"/>
  <c r="E40" i="4"/>
  <c r="F40" i="4"/>
  <c r="G40" i="4"/>
  <c r="H40" i="4"/>
  <c r="E39" i="4"/>
  <c r="F39" i="4"/>
  <c r="G39" i="4"/>
  <c r="H39" i="4"/>
  <c r="E38" i="4"/>
  <c r="F38" i="4"/>
  <c r="G38" i="4"/>
  <c r="H38" i="4"/>
  <c r="E37" i="4"/>
  <c r="F37" i="4"/>
  <c r="G37" i="4"/>
  <c r="H37" i="4"/>
  <c r="E36" i="4"/>
  <c r="F36" i="4"/>
  <c r="G36" i="4"/>
  <c r="H36" i="4"/>
  <c r="E35" i="4"/>
  <c r="F35" i="4"/>
  <c r="G35" i="4"/>
  <c r="H35" i="4"/>
  <c r="E34" i="4"/>
  <c r="F34" i="4"/>
  <c r="G34" i="4"/>
  <c r="H34" i="4"/>
  <c r="E33" i="4"/>
  <c r="F33" i="4"/>
  <c r="G33" i="4"/>
  <c r="H33" i="4"/>
  <c r="E32" i="4"/>
  <c r="F32" i="4"/>
  <c r="G32" i="4"/>
  <c r="H32" i="4"/>
  <c r="E31" i="4"/>
  <c r="F31" i="4"/>
  <c r="G31" i="4"/>
  <c r="H31" i="4"/>
  <c r="E30" i="4"/>
  <c r="F30" i="4"/>
  <c r="G30" i="4"/>
  <c r="H30" i="4"/>
  <c r="E29" i="4"/>
  <c r="F29" i="4"/>
  <c r="G29" i="4"/>
  <c r="H29" i="4"/>
  <c r="E28" i="4"/>
  <c r="F28" i="4"/>
  <c r="G28" i="4"/>
  <c r="H28" i="4"/>
  <c r="E27" i="4"/>
  <c r="F27" i="4"/>
  <c r="G27" i="4"/>
  <c r="H27" i="4"/>
  <c r="E26" i="4"/>
  <c r="F26" i="4"/>
  <c r="G26" i="4"/>
  <c r="H26" i="4"/>
  <c r="E25" i="4"/>
  <c r="F25" i="4"/>
  <c r="G25" i="4"/>
  <c r="H25" i="4"/>
  <c r="E24" i="4"/>
  <c r="F24" i="4"/>
  <c r="G24" i="4"/>
  <c r="H24" i="4"/>
  <c r="E23" i="4"/>
  <c r="F23" i="4"/>
  <c r="G23" i="4"/>
  <c r="H23" i="4"/>
  <c r="E22" i="4"/>
  <c r="F22" i="4"/>
  <c r="G22" i="4"/>
  <c r="H22" i="4"/>
  <c r="E21" i="4"/>
  <c r="F21" i="4"/>
  <c r="G21" i="4"/>
  <c r="H21" i="4"/>
  <c r="E20" i="4"/>
  <c r="F20" i="4"/>
  <c r="G20" i="4"/>
  <c r="H20" i="4"/>
  <c r="E19" i="4"/>
  <c r="F19" i="4"/>
  <c r="G19" i="4"/>
  <c r="H19" i="4"/>
  <c r="E18" i="4"/>
  <c r="F18" i="4"/>
  <c r="G18" i="4"/>
  <c r="H18" i="4"/>
  <c r="E17" i="4"/>
  <c r="F17" i="4"/>
  <c r="G17" i="4"/>
  <c r="H17" i="4"/>
  <c r="E16" i="4"/>
  <c r="F16" i="4"/>
  <c r="G16" i="4"/>
  <c r="H16" i="4"/>
  <c r="E15" i="4"/>
  <c r="F15" i="4"/>
  <c r="G15" i="4"/>
  <c r="H15" i="4"/>
  <c r="E14" i="4"/>
  <c r="F14" i="4"/>
  <c r="G14" i="4"/>
  <c r="H14" i="4"/>
  <c r="E13" i="4"/>
  <c r="F13" i="4"/>
  <c r="G13" i="4"/>
  <c r="H13" i="4"/>
  <c r="E12" i="4"/>
  <c r="F12" i="4"/>
  <c r="G12" i="4"/>
  <c r="H12" i="4"/>
  <c r="E11" i="4"/>
  <c r="F11" i="4"/>
  <c r="G11" i="4"/>
  <c r="H11" i="4"/>
  <c r="E10" i="4"/>
  <c r="F10" i="4"/>
  <c r="G10" i="4"/>
  <c r="H10" i="4"/>
  <c r="E9" i="4"/>
  <c r="F9" i="4"/>
  <c r="G9" i="4"/>
  <c r="H9" i="4"/>
  <c r="E8" i="4"/>
  <c r="F8" i="4"/>
  <c r="G8" i="4"/>
  <c r="H8" i="4"/>
  <c r="E7" i="4"/>
  <c r="F7" i="4"/>
  <c r="G7" i="4"/>
  <c r="H7" i="4"/>
  <c r="E6" i="4"/>
  <c r="F6" i="4"/>
  <c r="G6" i="4"/>
  <c r="H6" i="4"/>
  <c r="E5" i="4"/>
  <c r="F5" i="4"/>
  <c r="G5" i="4"/>
  <c r="H5" i="4"/>
  <c r="E4" i="4"/>
  <c r="F4" i="4"/>
  <c r="G4" i="4"/>
  <c r="H4" i="4"/>
  <c r="E3" i="4"/>
  <c r="F3" i="4"/>
  <c r="G3" i="4"/>
  <c r="H3" i="4"/>
  <c r="E2" i="4"/>
  <c r="F2" i="4"/>
  <c r="G2" i="4"/>
  <c r="H2" i="4"/>
  <c r="H2" i="3"/>
  <c r="B5" i="1"/>
  <c r="B4" i="1"/>
  <c r="B3" i="1"/>
  <c r="B2" i="1"/>
</calcChain>
</file>

<file path=xl/sharedStrings.xml><?xml version="1.0" encoding="utf-8"?>
<sst xmlns="http://schemas.openxmlformats.org/spreadsheetml/2006/main" count="146" uniqueCount="122">
  <si>
    <t>Metric</t>
  </si>
  <si>
    <t>Value</t>
  </si>
  <si>
    <t>Total Sales Today</t>
  </si>
  <si>
    <t>Total Sales This Month</t>
  </si>
  <si>
    <t>Cash Sales Today</t>
  </si>
  <si>
    <t>Bank &amp; MoMo Sales Today</t>
  </si>
  <si>
    <t>Date</t>
  </si>
  <si>
    <t>Order ID</t>
  </si>
  <si>
    <t>Customer Name</t>
  </si>
  <si>
    <t>Type of Arrangement</t>
  </si>
  <si>
    <t>No. of Arrangements</t>
  </si>
  <si>
    <t>Flower Types Used</t>
  </si>
  <si>
    <t>Total Qty Used</t>
  </si>
  <si>
    <t>Payment Method</t>
  </si>
  <si>
    <t>Amount</t>
  </si>
  <si>
    <t>Payment Ref/Txn ID</t>
  </si>
  <si>
    <t>Remarks</t>
  </si>
  <si>
    <t>Source</t>
  </si>
  <si>
    <t>Type (Flower/Ribbon/etc.)</t>
  </si>
  <si>
    <t>Specific Item</t>
  </si>
  <si>
    <t>Color</t>
  </si>
  <si>
    <t>Qty Received</t>
  </si>
  <si>
    <t>Cost per Unit</t>
  </si>
  <si>
    <t>Total Cost</t>
  </si>
  <si>
    <t>Received By</t>
  </si>
  <si>
    <t>Item</t>
  </si>
  <si>
    <t>Type</t>
  </si>
  <si>
    <t>Opening Stock</t>
  </si>
  <si>
    <t>Received</t>
  </si>
  <si>
    <t>Used in Arrangements</t>
  </si>
  <si>
    <t>Losses</t>
  </si>
  <si>
    <t>Closing Balance</t>
  </si>
  <si>
    <t>Arrangement Type</t>
  </si>
  <si>
    <t>Flower Type</t>
  </si>
  <si>
    <t>No. of Stems Used</t>
  </si>
  <si>
    <t>Ribbon Type</t>
  </si>
  <si>
    <t>Ribbon Color</t>
  </si>
  <si>
    <t>Other Items Used</t>
  </si>
  <si>
    <t>Qty Lost</t>
  </si>
  <si>
    <t>Cause</t>
  </si>
  <si>
    <t>Action Taken</t>
  </si>
  <si>
    <t>Logged By</t>
  </si>
  <si>
    <t>Method</t>
  </si>
  <si>
    <t>Payment Ref</t>
  </si>
  <si>
    <t>Confirmed in Bank/MoMo?</t>
  </si>
  <si>
    <t>Date Verified</t>
  </si>
  <si>
    <t>Flower Types</t>
  </si>
  <si>
    <t>Ribbon Colors</t>
  </si>
  <si>
    <t>Cellophane Colors</t>
  </si>
  <si>
    <t>Payment Methods</t>
  </si>
  <si>
    <t>Arrangement Types</t>
  </si>
  <si>
    <t>High Society</t>
  </si>
  <si>
    <t>Royal Blue</t>
  </si>
  <si>
    <t>Clear</t>
  </si>
  <si>
    <t>Cash</t>
  </si>
  <si>
    <t>Bouquet</t>
  </si>
  <si>
    <t>First Red</t>
  </si>
  <si>
    <t>Turquoise</t>
  </si>
  <si>
    <t>Black</t>
  </si>
  <si>
    <t>National Bank</t>
  </si>
  <si>
    <t>Vase arrangement</t>
  </si>
  <si>
    <t>White Acetal</t>
  </si>
  <si>
    <t>Hot Pink</t>
  </si>
  <si>
    <t>Gold</t>
  </si>
  <si>
    <t>Standard Bank</t>
  </si>
  <si>
    <t>Box arrangement</t>
  </si>
  <si>
    <t>Red Grand Gala</t>
  </si>
  <si>
    <t>Baby Pink</t>
  </si>
  <si>
    <t>Yellow</t>
  </si>
  <si>
    <t>Airtel Money</t>
  </si>
  <si>
    <t>Wreath</t>
  </si>
  <si>
    <t>Lambada</t>
  </si>
  <si>
    <t>Red</t>
  </si>
  <si>
    <t>Cream</t>
  </si>
  <si>
    <t>Mpamba</t>
  </si>
  <si>
    <t>Casket spray</t>
  </si>
  <si>
    <t>Ensemble</t>
  </si>
  <si>
    <t>Table arrangement</t>
  </si>
  <si>
    <t>Green</t>
  </si>
  <si>
    <t>Starlight</t>
  </si>
  <si>
    <t>Purple</t>
  </si>
  <si>
    <t>Blue</t>
  </si>
  <si>
    <t>White Hybrid</t>
  </si>
  <si>
    <t>White</t>
  </si>
  <si>
    <t>Mint Hybrid</t>
  </si>
  <si>
    <t>Pink</t>
  </si>
  <si>
    <t>Spray rose</t>
  </si>
  <si>
    <t>Silver</t>
  </si>
  <si>
    <t>Solidago</t>
  </si>
  <si>
    <t>Orange</t>
  </si>
  <si>
    <t>Asthers White</t>
  </si>
  <si>
    <t>Maroon</t>
  </si>
  <si>
    <t>Asthers Pink</t>
  </si>
  <si>
    <t>Asthers Purple</t>
  </si>
  <si>
    <t>Light Pink</t>
  </si>
  <si>
    <t>Asthers Lilac</t>
  </si>
  <si>
    <t>Dark Pink</t>
  </si>
  <si>
    <t>Yarrow White</t>
  </si>
  <si>
    <t>Light Green</t>
  </si>
  <si>
    <t>Yarrow Pink</t>
  </si>
  <si>
    <t>Dark Green</t>
  </si>
  <si>
    <t>Daniella</t>
  </si>
  <si>
    <t>Light Blue</t>
  </si>
  <si>
    <t>Chrysanths</t>
  </si>
  <si>
    <t>Dark Blue</t>
  </si>
  <si>
    <t>King Protea</t>
  </si>
  <si>
    <t>Saffari Sunset</t>
  </si>
  <si>
    <t>Warrato</t>
  </si>
  <si>
    <t>Yellow Protea</t>
  </si>
  <si>
    <t>Hi-Gold Protea</t>
  </si>
  <si>
    <t>Baby's Breath</t>
  </si>
  <si>
    <t>Sunflowers</t>
  </si>
  <si>
    <t>Alstomeria</t>
  </si>
  <si>
    <t>Statice White</t>
  </si>
  <si>
    <t>Statice Yellow</t>
  </si>
  <si>
    <t>Statice Peach</t>
  </si>
  <si>
    <t>Statice Blue</t>
  </si>
  <si>
    <t>Statice Pink</t>
  </si>
  <si>
    <t>Statice Purple</t>
  </si>
  <si>
    <t>Penny Gum</t>
  </si>
  <si>
    <t>Ruscus</t>
  </si>
  <si>
    <t>Yarrow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</si>
</sst>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ference_Lis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_List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>
        <f ca="1">SUMIFS('Orders &amp; Payments'!$I:$I,'Orders &amp; Payments'!$A:$A,TODAY())</f>
        <v>0</v>
      </c>
    </row>
    <row r="3" spans="1:2" x14ac:dyDescent="0.25">
      <c r="A3" s="1" t="s">
        <v>3</v>
      </c>
      <c r="B3">
        <f ca="1">SUMIFS('Orders &amp; Payments'!$I:$I,'Orders &amp; Payments'!$A:$A,"&gt;="&amp;EOMONTH(TODAY(),-1)+1,'Orders &amp; Payments'!$A:$A,"&lt;="&amp;EOMONTH(TODAY(),0))</f>
        <v>0</v>
      </c>
    </row>
    <row r="4" spans="1:2" x14ac:dyDescent="0.25">
      <c r="A4" s="1" t="s">
        <v>4</v>
      </c>
      <c r="B4">
        <f ca="1">SUMIFS('Orders &amp; Payments'!$I:$I,'Orders &amp; Payments'!$A:$A,TODAY(),'Orders &amp; Payments'!$H:$H,"Cash")</f>
        <v>0</v>
      </c>
    </row>
    <row r="5" spans="1:2" x14ac:dyDescent="0.25">
      <c r="A5" s="1" t="s">
        <v>5</v>
      </c>
      <c r="B5">
        <f ca="1">SUMIFS('Orders &amp; Payments'!$I:$I,'Orders &amp; Payments'!$A:$A,TODAY(),'Orders &amp; Payments'!$H:$H,"National Bank")+SUMIFS('Orders &amp; Payments'!$I:$I,'Orders &amp; Payments'!$A:$A,TODAY(),'Orders &amp; Payments'!$H:$H,"Standard Bank")+SUMIFS('Orders &amp; Payments'!$I:$I,'Orders &amp; Payments'!$A:$A,TODAY(),'Orders &amp; Payments'!$H:$H,"Airtel Money")+SUMIFS('Orders &amp; Payments'!$I:$I,'Orders &amp; Payments'!$A:$A,TODAY(),'Orders &amp; Payments'!$H:$H,"Mpamba")</f>
        <v>0</v>
      </c>
    </row>
  </sheetData>
  <sheetProtection password="C66E"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>
      <selection activeCell="D2" sqref="D2:D500"/>
    </sheetView>
  </sheetViews>
  <sheetFormatPr defaultRowHeight="15" x14ac:dyDescent="0.25"/>
  <sheetData>
    <row r="1" spans="1:1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Reference_Lists!#REF!</xm:f>
          </x14:formula1>
          <xm:sqref>D2:D500 H2:H500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tabSelected="1" topLeftCell="D1" workbookViewId="0"/>
  </sheetViews>
  <sheetFormatPr defaultRowHeight="15" x14ac:dyDescent="0.25"/>
  <sheetData>
    <row r="1" spans="1:10" x14ac:dyDescent="0.25">
      <c r="A1" s="1" t="s">
        <v>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16</v>
      </c>
    </row>
    <row r="2" spans="1:10" x14ac:dyDescent="0.25">
      <c r="A2" s="1"/>
      <c r="B2" s="1"/>
      <c r="C2" s="1"/>
      <c r="D2" s="1"/>
      <c r="E2" s="1"/>
      <c r="F2" s="1"/>
      <c r="G2" s="1"/>
      <c r="H2">
        <f>F2*G2</f>
        <v>0</v>
      </c>
      <c r="I2" s="1"/>
      <c r="J2" s="1"/>
    </row>
  </sheetData>
  <sheetProtection password="C66E" sheet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1"/>
  <sheetViews>
    <sheetView topLeftCell="B1" workbookViewId="0"/>
  </sheetViews>
  <sheetFormatPr defaultRowHeight="15" x14ac:dyDescent="0.25"/>
  <sheetData>
    <row r="1" spans="1:8" x14ac:dyDescent="0.25">
      <c r="A1" s="1" t="s">
        <v>25</v>
      </c>
      <c r="B1" s="1" t="s">
        <v>26</v>
      </c>
      <c r="C1" s="1" t="s">
        <v>20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 s="1"/>
      <c r="B2" s="1"/>
      <c r="C2" s="1"/>
      <c r="D2" s="1"/>
      <c r="E2">
        <f>IFERROR(SUMIFS('Stock Received'!$F:$F,'Stock Received'!$D:$D,$A2,'Stock Received'!$E:$E,$C2),0)</f>
        <v>0</v>
      </c>
      <c r="F2">
        <f>IFERROR(SUMIFS('Arrangement Tracker'!$F:$F,'Arrangement Tracker'!$D:$D,$A2,'Arrangement Tracker'!$E:$E,$C2),0)</f>
        <v>0</v>
      </c>
      <c r="G2">
        <f>IFERROR(SUMIFS('Losses &amp; Damages'!$E:$E,'Losses &amp; Damages'!$C:$C,$A2,'Losses &amp; Damages'!$D:$D,$C2),0)</f>
        <v>0</v>
      </c>
      <c r="H2">
        <f t="shared" ref="H2:H65" si="0">IFERROR(D2+E2-F2-G2,0)</f>
        <v>0</v>
      </c>
    </row>
    <row r="3" spans="1:8" x14ac:dyDescent="0.25">
      <c r="A3" s="1"/>
      <c r="B3" s="1"/>
      <c r="C3" s="1"/>
      <c r="D3" s="1"/>
      <c r="E3">
        <f>IFERROR(SUMIFS('Stock Received'!$F:$F,'Stock Received'!$D:$D,$A3,'Stock Received'!$E:$E,$C3),0)</f>
        <v>0</v>
      </c>
      <c r="F3">
        <f>IFERROR(SUMIFS('Arrangement Tracker'!$F:$F,'Arrangement Tracker'!$D:$D,$A3,'Arrangement Tracker'!$E:$E,$C3),0)</f>
        <v>0</v>
      </c>
      <c r="G3">
        <f>IFERROR(SUMIFS('Losses &amp; Damages'!$E:$E,'Losses &amp; Damages'!$C:$C,$A3,'Losses &amp; Damages'!$D:$D,$C3),0)</f>
        <v>0</v>
      </c>
      <c r="H3">
        <f t="shared" si="0"/>
        <v>0</v>
      </c>
    </row>
    <row r="4" spans="1:8" x14ac:dyDescent="0.25">
      <c r="A4" s="1"/>
      <c r="B4" s="1"/>
      <c r="C4" s="1"/>
      <c r="D4" s="1"/>
      <c r="E4">
        <f>IFERROR(SUMIFS('Stock Received'!$F:$F,'Stock Received'!$D:$D,$A4,'Stock Received'!$E:$E,$C4),0)</f>
        <v>0</v>
      </c>
      <c r="F4">
        <f>IFERROR(SUMIFS('Arrangement Tracker'!$F:$F,'Arrangement Tracker'!$D:$D,$A4,'Arrangement Tracker'!$E:$E,$C4),0)</f>
        <v>0</v>
      </c>
      <c r="G4">
        <f>IFERROR(SUMIFS('Losses &amp; Damages'!$E:$E,'Losses &amp; Damages'!$C:$C,$A4,'Losses &amp; Damages'!$D:$D,$C4),0)</f>
        <v>0</v>
      </c>
      <c r="H4">
        <f t="shared" si="0"/>
        <v>0</v>
      </c>
    </row>
    <row r="5" spans="1:8" x14ac:dyDescent="0.25">
      <c r="A5" s="1"/>
      <c r="B5" s="1"/>
      <c r="C5" s="1"/>
      <c r="D5" s="1"/>
      <c r="E5">
        <f>IFERROR(SUMIFS('Stock Received'!$F:$F,'Stock Received'!$D:$D,$A5,'Stock Received'!$E:$E,$C5),0)</f>
        <v>0</v>
      </c>
      <c r="F5">
        <f>IFERROR(SUMIFS('Arrangement Tracker'!$F:$F,'Arrangement Tracker'!$D:$D,$A5,'Arrangement Tracker'!$E:$E,$C5),0)</f>
        <v>0</v>
      </c>
      <c r="G5">
        <f>IFERROR(SUMIFS('Losses &amp; Damages'!$E:$E,'Losses &amp; Damages'!$C:$C,$A5,'Losses &amp; Damages'!$D:$D,$C5),0)</f>
        <v>0</v>
      </c>
      <c r="H5">
        <f t="shared" si="0"/>
        <v>0</v>
      </c>
    </row>
    <row r="6" spans="1:8" x14ac:dyDescent="0.25">
      <c r="A6" s="1"/>
      <c r="B6" s="1"/>
      <c r="C6" s="1"/>
      <c r="D6" s="1"/>
      <c r="E6">
        <f>IFERROR(SUMIFS('Stock Received'!$F:$F,'Stock Received'!$D:$D,$A6,'Stock Received'!$E:$E,$C6),0)</f>
        <v>0</v>
      </c>
      <c r="F6">
        <f>IFERROR(SUMIFS('Arrangement Tracker'!$F:$F,'Arrangement Tracker'!$D:$D,$A6,'Arrangement Tracker'!$E:$E,$C6),0)</f>
        <v>0</v>
      </c>
      <c r="G6">
        <f>IFERROR(SUMIFS('Losses &amp; Damages'!$E:$E,'Losses &amp; Damages'!$C:$C,$A6,'Losses &amp; Damages'!$D:$D,$C6),0)</f>
        <v>0</v>
      </c>
      <c r="H6">
        <f t="shared" si="0"/>
        <v>0</v>
      </c>
    </row>
    <row r="7" spans="1:8" x14ac:dyDescent="0.25">
      <c r="A7" s="1"/>
      <c r="B7" s="1"/>
      <c r="C7" s="1"/>
      <c r="D7" s="1"/>
      <c r="E7">
        <f>IFERROR(SUMIFS('Stock Received'!$F:$F,'Stock Received'!$D:$D,$A7,'Stock Received'!$E:$E,$C7),0)</f>
        <v>0</v>
      </c>
      <c r="F7">
        <f>IFERROR(SUMIFS('Arrangement Tracker'!$F:$F,'Arrangement Tracker'!$D:$D,$A7,'Arrangement Tracker'!$E:$E,$C7),0)</f>
        <v>0</v>
      </c>
      <c r="G7">
        <f>IFERROR(SUMIFS('Losses &amp; Damages'!$E:$E,'Losses &amp; Damages'!$C:$C,$A7,'Losses &amp; Damages'!$D:$D,$C7),0)</f>
        <v>0</v>
      </c>
      <c r="H7">
        <f t="shared" si="0"/>
        <v>0</v>
      </c>
    </row>
    <row r="8" spans="1:8" x14ac:dyDescent="0.25">
      <c r="A8" s="1"/>
      <c r="B8" s="1"/>
      <c r="C8" s="1"/>
      <c r="D8" s="1"/>
      <c r="E8">
        <f>IFERROR(SUMIFS('Stock Received'!$F:$F,'Stock Received'!$D:$D,$A8,'Stock Received'!$E:$E,$C8),0)</f>
        <v>0</v>
      </c>
      <c r="F8">
        <f>IFERROR(SUMIFS('Arrangement Tracker'!$F:$F,'Arrangement Tracker'!$D:$D,$A8,'Arrangement Tracker'!$E:$E,$C8),0)</f>
        <v>0</v>
      </c>
      <c r="G8">
        <f>IFERROR(SUMIFS('Losses &amp; Damages'!$E:$E,'Losses &amp; Damages'!$C:$C,$A8,'Losses &amp; Damages'!$D:$D,$C8),0)</f>
        <v>0</v>
      </c>
      <c r="H8">
        <f t="shared" si="0"/>
        <v>0</v>
      </c>
    </row>
    <row r="9" spans="1:8" x14ac:dyDescent="0.25">
      <c r="A9" s="1"/>
      <c r="B9" s="1"/>
      <c r="C9" s="1"/>
      <c r="D9" s="1"/>
      <c r="E9">
        <f>IFERROR(SUMIFS('Stock Received'!$F:$F,'Stock Received'!$D:$D,$A9,'Stock Received'!$E:$E,$C9),0)</f>
        <v>0</v>
      </c>
      <c r="F9">
        <f>IFERROR(SUMIFS('Arrangement Tracker'!$F:$F,'Arrangement Tracker'!$D:$D,$A9,'Arrangement Tracker'!$E:$E,$C9),0)</f>
        <v>0</v>
      </c>
      <c r="G9">
        <f>IFERROR(SUMIFS('Losses &amp; Damages'!$E:$E,'Losses &amp; Damages'!$C:$C,$A9,'Losses &amp; Damages'!$D:$D,$C9),0)</f>
        <v>0</v>
      </c>
      <c r="H9">
        <f t="shared" si="0"/>
        <v>0</v>
      </c>
    </row>
    <row r="10" spans="1:8" x14ac:dyDescent="0.25">
      <c r="A10" s="1"/>
      <c r="B10" s="1"/>
      <c r="C10" s="1"/>
      <c r="D10" s="1"/>
      <c r="E10">
        <f>IFERROR(SUMIFS('Stock Received'!$F:$F,'Stock Received'!$D:$D,$A10,'Stock Received'!$E:$E,$C10),0)</f>
        <v>0</v>
      </c>
      <c r="F10">
        <f>IFERROR(SUMIFS('Arrangement Tracker'!$F:$F,'Arrangement Tracker'!$D:$D,$A10,'Arrangement Tracker'!$E:$E,$C10),0)</f>
        <v>0</v>
      </c>
      <c r="G10">
        <f>IFERROR(SUMIFS('Losses &amp; Damages'!$E:$E,'Losses &amp; Damages'!$C:$C,$A10,'Losses &amp; Damages'!$D:$D,$C10),0)</f>
        <v>0</v>
      </c>
      <c r="H10">
        <f t="shared" si="0"/>
        <v>0</v>
      </c>
    </row>
    <row r="11" spans="1:8" x14ac:dyDescent="0.25">
      <c r="A11" s="1"/>
      <c r="B11" s="1"/>
      <c r="C11" s="1"/>
      <c r="D11" s="1"/>
      <c r="E11">
        <f>IFERROR(SUMIFS('Stock Received'!$F:$F,'Stock Received'!$D:$D,$A11,'Stock Received'!$E:$E,$C11),0)</f>
        <v>0</v>
      </c>
      <c r="F11">
        <f>IFERROR(SUMIFS('Arrangement Tracker'!$F:$F,'Arrangement Tracker'!$D:$D,$A11,'Arrangement Tracker'!$E:$E,$C11),0)</f>
        <v>0</v>
      </c>
      <c r="G11">
        <f>IFERROR(SUMIFS('Losses &amp; Damages'!$E:$E,'Losses &amp; Damages'!$C:$C,$A11,'Losses &amp; Damages'!$D:$D,$C11),0)</f>
        <v>0</v>
      </c>
      <c r="H11">
        <f t="shared" si="0"/>
        <v>0</v>
      </c>
    </row>
    <row r="12" spans="1:8" x14ac:dyDescent="0.25">
      <c r="A12" s="1"/>
      <c r="B12" s="1"/>
      <c r="C12" s="1"/>
      <c r="D12" s="1"/>
      <c r="E12">
        <f>IFERROR(SUMIFS('Stock Received'!$F:$F,'Stock Received'!$D:$D,$A12,'Stock Received'!$E:$E,$C12),0)</f>
        <v>0</v>
      </c>
      <c r="F12">
        <f>IFERROR(SUMIFS('Arrangement Tracker'!$F:$F,'Arrangement Tracker'!$D:$D,$A12,'Arrangement Tracker'!$E:$E,$C12),0)</f>
        <v>0</v>
      </c>
      <c r="G12">
        <f>IFERROR(SUMIFS('Losses &amp; Damages'!$E:$E,'Losses &amp; Damages'!$C:$C,$A12,'Losses &amp; Damages'!$D:$D,$C12),0)</f>
        <v>0</v>
      </c>
      <c r="H12">
        <f t="shared" si="0"/>
        <v>0</v>
      </c>
    </row>
    <row r="13" spans="1:8" x14ac:dyDescent="0.25">
      <c r="A13" s="1"/>
      <c r="B13" s="1"/>
      <c r="C13" s="1"/>
      <c r="D13" s="1"/>
      <c r="E13">
        <f>IFERROR(SUMIFS('Stock Received'!$F:$F,'Stock Received'!$D:$D,$A13,'Stock Received'!$E:$E,$C13),0)</f>
        <v>0</v>
      </c>
      <c r="F13">
        <f>IFERROR(SUMIFS('Arrangement Tracker'!$F:$F,'Arrangement Tracker'!$D:$D,$A13,'Arrangement Tracker'!$E:$E,$C13),0)</f>
        <v>0</v>
      </c>
      <c r="G13">
        <f>IFERROR(SUMIFS('Losses &amp; Damages'!$E:$E,'Losses &amp; Damages'!$C:$C,$A13,'Losses &amp; Damages'!$D:$D,$C13),0)</f>
        <v>0</v>
      </c>
      <c r="H13">
        <f t="shared" si="0"/>
        <v>0</v>
      </c>
    </row>
    <row r="14" spans="1:8" x14ac:dyDescent="0.25">
      <c r="A14" s="1"/>
      <c r="B14" s="1"/>
      <c r="C14" s="1"/>
      <c r="D14" s="1"/>
      <c r="E14">
        <f>IFERROR(SUMIFS('Stock Received'!$F:$F,'Stock Received'!$D:$D,$A14,'Stock Received'!$E:$E,$C14),0)</f>
        <v>0</v>
      </c>
      <c r="F14">
        <f>IFERROR(SUMIFS('Arrangement Tracker'!$F:$F,'Arrangement Tracker'!$D:$D,$A14,'Arrangement Tracker'!$E:$E,$C14),0)</f>
        <v>0</v>
      </c>
      <c r="G14">
        <f>IFERROR(SUMIFS('Losses &amp; Damages'!$E:$E,'Losses &amp; Damages'!$C:$C,$A14,'Losses &amp; Damages'!$D:$D,$C14),0)</f>
        <v>0</v>
      </c>
      <c r="H14">
        <f t="shared" si="0"/>
        <v>0</v>
      </c>
    </row>
    <row r="15" spans="1:8" x14ac:dyDescent="0.25">
      <c r="A15" s="1"/>
      <c r="B15" s="1"/>
      <c r="C15" s="1"/>
      <c r="D15" s="1"/>
      <c r="E15">
        <f>IFERROR(SUMIFS('Stock Received'!$F:$F,'Stock Received'!$D:$D,$A15,'Stock Received'!$E:$E,$C15),0)</f>
        <v>0</v>
      </c>
      <c r="F15">
        <f>IFERROR(SUMIFS('Arrangement Tracker'!$F:$F,'Arrangement Tracker'!$D:$D,$A15,'Arrangement Tracker'!$E:$E,$C15),0)</f>
        <v>0</v>
      </c>
      <c r="G15">
        <f>IFERROR(SUMIFS('Losses &amp; Damages'!$E:$E,'Losses &amp; Damages'!$C:$C,$A15,'Losses &amp; Damages'!$D:$D,$C15),0)</f>
        <v>0</v>
      </c>
      <c r="H15">
        <f t="shared" si="0"/>
        <v>0</v>
      </c>
    </row>
    <row r="16" spans="1:8" x14ac:dyDescent="0.25">
      <c r="A16" s="1"/>
      <c r="B16" s="1"/>
      <c r="C16" s="1"/>
      <c r="D16" s="1"/>
      <c r="E16">
        <f>IFERROR(SUMIFS('Stock Received'!$F:$F,'Stock Received'!$D:$D,$A16,'Stock Received'!$E:$E,$C16),0)</f>
        <v>0</v>
      </c>
      <c r="F16">
        <f>IFERROR(SUMIFS('Arrangement Tracker'!$F:$F,'Arrangement Tracker'!$D:$D,$A16,'Arrangement Tracker'!$E:$E,$C16),0)</f>
        <v>0</v>
      </c>
      <c r="G16">
        <f>IFERROR(SUMIFS('Losses &amp; Damages'!$E:$E,'Losses &amp; Damages'!$C:$C,$A16,'Losses &amp; Damages'!$D:$D,$C16),0)</f>
        <v>0</v>
      </c>
      <c r="H16">
        <f t="shared" si="0"/>
        <v>0</v>
      </c>
    </row>
    <row r="17" spans="1:8" x14ac:dyDescent="0.25">
      <c r="A17" s="1"/>
      <c r="B17" s="1"/>
      <c r="C17" s="1"/>
      <c r="D17" s="1"/>
      <c r="E17">
        <f>IFERROR(SUMIFS('Stock Received'!$F:$F,'Stock Received'!$D:$D,$A17,'Stock Received'!$E:$E,$C17),0)</f>
        <v>0</v>
      </c>
      <c r="F17">
        <f>IFERROR(SUMIFS('Arrangement Tracker'!$F:$F,'Arrangement Tracker'!$D:$D,$A17,'Arrangement Tracker'!$E:$E,$C17),0)</f>
        <v>0</v>
      </c>
      <c r="G17">
        <f>IFERROR(SUMIFS('Losses &amp; Damages'!$E:$E,'Losses &amp; Damages'!$C:$C,$A17,'Losses &amp; Damages'!$D:$D,$C17),0)</f>
        <v>0</v>
      </c>
      <c r="H17">
        <f t="shared" si="0"/>
        <v>0</v>
      </c>
    </row>
    <row r="18" spans="1:8" x14ac:dyDescent="0.25">
      <c r="A18" s="1"/>
      <c r="B18" s="1"/>
      <c r="C18" s="1"/>
      <c r="D18" s="1"/>
      <c r="E18">
        <f>IFERROR(SUMIFS('Stock Received'!$F:$F,'Stock Received'!$D:$D,$A18,'Stock Received'!$E:$E,$C18),0)</f>
        <v>0</v>
      </c>
      <c r="F18">
        <f>IFERROR(SUMIFS('Arrangement Tracker'!$F:$F,'Arrangement Tracker'!$D:$D,$A18,'Arrangement Tracker'!$E:$E,$C18),0)</f>
        <v>0</v>
      </c>
      <c r="G18">
        <f>IFERROR(SUMIFS('Losses &amp; Damages'!$E:$E,'Losses &amp; Damages'!$C:$C,$A18,'Losses &amp; Damages'!$D:$D,$C18),0)</f>
        <v>0</v>
      </c>
      <c r="H18">
        <f t="shared" si="0"/>
        <v>0</v>
      </c>
    </row>
    <row r="19" spans="1:8" x14ac:dyDescent="0.25">
      <c r="A19" s="1"/>
      <c r="B19" s="1"/>
      <c r="C19" s="1"/>
      <c r="D19" s="1"/>
      <c r="E19">
        <f>IFERROR(SUMIFS('Stock Received'!$F:$F,'Stock Received'!$D:$D,$A19,'Stock Received'!$E:$E,$C19),0)</f>
        <v>0</v>
      </c>
      <c r="F19">
        <f>IFERROR(SUMIFS('Arrangement Tracker'!$F:$F,'Arrangement Tracker'!$D:$D,$A19,'Arrangement Tracker'!$E:$E,$C19),0)</f>
        <v>0</v>
      </c>
      <c r="G19">
        <f>IFERROR(SUMIFS('Losses &amp; Damages'!$E:$E,'Losses &amp; Damages'!$C:$C,$A19,'Losses &amp; Damages'!$D:$D,$C19),0)</f>
        <v>0</v>
      </c>
      <c r="H19">
        <f t="shared" si="0"/>
        <v>0</v>
      </c>
    </row>
    <row r="20" spans="1:8" x14ac:dyDescent="0.25">
      <c r="A20" s="1"/>
      <c r="B20" s="1"/>
      <c r="C20" s="1"/>
      <c r="D20" s="1"/>
      <c r="E20">
        <f>IFERROR(SUMIFS('Stock Received'!$F:$F,'Stock Received'!$D:$D,$A20,'Stock Received'!$E:$E,$C20),0)</f>
        <v>0</v>
      </c>
      <c r="F20">
        <f>IFERROR(SUMIFS('Arrangement Tracker'!$F:$F,'Arrangement Tracker'!$D:$D,$A20,'Arrangement Tracker'!$E:$E,$C20),0)</f>
        <v>0</v>
      </c>
      <c r="G20">
        <f>IFERROR(SUMIFS('Losses &amp; Damages'!$E:$E,'Losses &amp; Damages'!$C:$C,$A20,'Losses &amp; Damages'!$D:$D,$C20),0)</f>
        <v>0</v>
      </c>
      <c r="H20">
        <f t="shared" si="0"/>
        <v>0</v>
      </c>
    </row>
    <row r="21" spans="1:8" x14ac:dyDescent="0.25">
      <c r="A21" s="1"/>
      <c r="B21" s="1"/>
      <c r="C21" s="1"/>
      <c r="D21" s="1"/>
      <c r="E21">
        <f>IFERROR(SUMIFS('Stock Received'!$F:$F,'Stock Received'!$D:$D,$A21,'Stock Received'!$E:$E,$C21),0)</f>
        <v>0</v>
      </c>
      <c r="F21">
        <f>IFERROR(SUMIFS('Arrangement Tracker'!$F:$F,'Arrangement Tracker'!$D:$D,$A21,'Arrangement Tracker'!$E:$E,$C21),0)</f>
        <v>0</v>
      </c>
      <c r="G21">
        <f>IFERROR(SUMIFS('Losses &amp; Damages'!$E:$E,'Losses &amp; Damages'!$C:$C,$A21,'Losses &amp; Damages'!$D:$D,$C21),0)</f>
        <v>0</v>
      </c>
      <c r="H21">
        <f t="shared" si="0"/>
        <v>0</v>
      </c>
    </row>
    <row r="22" spans="1:8" x14ac:dyDescent="0.25">
      <c r="A22" s="1"/>
      <c r="B22" s="1"/>
      <c r="C22" s="1"/>
      <c r="D22" s="1"/>
      <c r="E22">
        <f>IFERROR(SUMIFS('Stock Received'!$F:$F,'Stock Received'!$D:$D,$A22,'Stock Received'!$E:$E,$C22),0)</f>
        <v>0</v>
      </c>
      <c r="F22">
        <f>IFERROR(SUMIFS('Arrangement Tracker'!$F:$F,'Arrangement Tracker'!$D:$D,$A22,'Arrangement Tracker'!$E:$E,$C22),0)</f>
        <v>0</v>
      </c>
      <c r="G22">
        <f>IFERROR(SUMIFS('Losses &amp; Damages'!$E:$E,'Losses &amp; Damages'!$C:$C,$A22,'Losses &amp; Damages'!$D:$D,$C22),0)</f>
        <v>0</v>
      </c>
      <c r="H22">
        <f t="shared" si="0"/>
        <v>0</v>
      </c>
    </row>
    <row r="23" spans="1:8" x14ac:dyDescent="0.25">
      <c r="A23" s="1"/>
      <c r="B23" s="1"/>
      <c r="C23" s="1"/>
      <c r="D23" s="1"/>
      <c r="E23">
        <f>IFERROR(SUMIFS('Stock Received'!$F:$F,'Stock Received'!$D:$D,$A23,'Stock Received'!$E:$E,$C23),0)</f>
        <v>0</v>
      </c>
      <c r="F23">
        <f>IFERROR(SUMIFS('Arrangement Tracker'!$F:$F,'Arrangement Tracker'!$D:$D,$A23,'Arrangement Tracker'!$E:$E,$C23),0)</f>
        <v>0</v>
      </c>
      <c r="G23">
        <f>IFERROR(SUMIFS('Losses &amp; Damages'!$E:$E,'Losses &amp; Damages'!$C:$C,$A23,'Losses &amp; Damages'!$D:$D,$C23),0)</f>
        <v>0</v>
      </c>
      <c r="H23">
        <f t="shared" si="0"/>
        <v>0</v>
      </c>
    </row>
    <row r="24" spans="1:8" x14ac:dyDescent="0.25">
      <c r="A24" s="1"/>
      <c r="B24" s="1"/>
      <c r="C24" s="1"/>
      <c r="D24" s="1"/>
      <c r="E24">
        <f>IFERROR(SUMIFS('Stock Received'!$F:$F,'Stock Received'!$D:$D,$A24,'Stock Received'!$E:$E,$C24),0)</f>
        <v>0</v>
      </c>
      <c r="F24">
        <f>IFERROR(SUMIFS('Arrangement Tracker'!$F:$F,'Arrangement Tracker'!$D:$D,$A24,'Arrangement Tracker'!$E:$E,$C24),0)</f>
        <v>0</v>
      </c>
      <c r="G24">
        <f>IFERROR(SUMIFS('Losses &amp; Damages'!$E:$E,'Losses &amp; Damages'!$C:$C,$A24,'Losses &amp; Damages'!$D:$D,$C24),0)</f>
        <v>0</v>
      </c>
      <c r="H24">
        <f t="shared" si="0"/>
        <v>0</v>
      </c>
    </row>
    <row r="25" spans="1:8" x14ac:dyDescent="0.25">
      <c r="A25" s="1"/>
      <c r="B25" s="1"/>
      <c r="C25" s="1"/>
      <c r="D25" s="1"/>
      <c r="E25">
        <f>IFERROR(SUMIFS('Stock Received'!$F:$F,'Stock Received'!$D:$D,$A25,'Stock Received'!$E:$E,$C25),0)</f>
        <v>0</v>
      </c>
      <c r="F25">
        <f>IFERROR(SUMIFS('Arrangement Tracker'!$F:$F,'Arrangement Tracker'!$D:$D,$A25,'Arrangement Tracker'!$E:$E,$C25),0)</f>
        <v>0</v>
      </c>
      <c r="G25">
        <f>IFERROR(SUMIFS('Losses &amp; Damages'!$E:$E,'Losses &amp; Damages'!$C:$C,$A25,'Losses &amp; Damages'!$D:$D,$C25),0)</f>
        <v>0</v>
      </c>
      <c r="H25">
        <f t="shared" si="0"/>
        <v>0</v>
      </c>
    </row>
    <row r="26" spans="1:8" x14ac:dyDescent="0.25">
      <c r="A26" s="1"/>
      <c r="B26" s="1"/>
      <c r="C26" s="1"/>
      <c r="D26" s="1"/>
      <c r="E26">
        <f>IFERROR(SUMIFS('Stock Received'!$F:$F,'Stock Received'!$D:$D,$A26,'Stock Received'!$E:$E,$C26),0)</f>
        <v>0</v>
      </c>
      <c r="F26">
        <f>IFERROR(SUMIFS('Arrangement Tracker'!$F:$F,'Arrangement Tracker'!$D:$D,$A26,'Arrangement Tracker'!$E:$E,$C26),0)</f>
        <v>0</v>
      </c>
      <c r="G26">
        <f>IFERROR(SUMIFS('Losses &amp; Damages'!$E:$E,'Losses &amp; Damages'!$C:$C,$A26,'Losses &amp; Damages'!$D:$D,$C26),0)</f>
        <v>0</v>
      </c>
      <c r="H26">
        <f t="shared" si="0"/>
        <v>0</v>
      </c>
    </row>
    <row r="27" spans="1:8" x14ac:dyDescent="0.25">
      <c r="A27" s="1"/>
      <c r="B27" s="1"/>
      <c r="C27" s="1"/>
      <c r="D27" s="1"/>
      <c r="E27">
        <f>IFERROR(SUMIFS('Stock Received'!$F:$F,'Stock Received'!$D:$D,$A27,'Stock Received'!$E:$E,$C27),0)</f>
        <v>0</v>
      </c>
      <c r="F27">
        <f>IFERROR(SUMIFS('Arrangement Tracker'!$F:$F,'Arrangement Tracker'!$D:$D,$A27,'Arrangement Tracker'!$E:$E,$C27),0)</f>
        <v>0</v>
      </c>
      <c r="G27">
        <f>IFERROR(SUMIFS('Losses &amp; Damages'!$E:$E,'Losses &amp; Damages'!$C:$C,$A27,'Losses &amp; Damages'!$D:$D,$C27),0)</f>
        <v>0</v>
      </c>
      <c r="H27">
        <f t="shared" si="0"/>
        <v>0</v>
      </c>
    </row>
    <row r="28" spans="1:8" x14ac:dyDescent="0.25">
      <c r="A28" s="1"/>
      <c r="B28" s="1"/>
      <c r="C28" s="1"/>
      <c r="D28" s="1"/>
      <c r="E28">
        <f>IFERROR(SUMIFS('Stock Received'!$F:$F,'Stock Received'!$D:$D,$A28,'Stock Received'!$E:$E,$C28),0)</f>
        <v>0</v>
      </c>
      <c r="F28">
        <f>IFERROR(SUMIFS('Arrangement Tracker'!$F:$F,'Arrangement Tracker'!$D:$D,$A28,'Arrangement Tracker'!$E:$E,$C28),0)</f>
        <v>0</v>
      </c>
      <c r="G28">
        <f>IFERROR(SUMIFS('Losses &amp; Damages'!$E:$E,'Losses &amp; Damages'!$C:$C,$A28,'Losses &amp; Damages'!$D:$D,$C28),0)</f>
        <v>0</v>
      </c>
      <c r="H28">
        <f t="shared" si="0"/>
        <v>0</v>
      </c>
    </row>
    <row r="29" spans="1:8" x14ac:dyDescent="0.25">
      <c r="A29" s="1"/>
      <c r="B29" s="1"/>
      <c r="C29" s="1"/>
      <c r="D29" s="1"/>
      <c r="E29">
        <f>IFERROR(SUMIFS('Stock Received'!$F:$F,'Stock Received'!$D:$D,$A29,'Stock Received'!$E:$E,$C29),0)</f>
        <v>0</v>
      </c>
      <c r="F29">
        <f>IFERROR(SUMIFS('Arrangement Tracker'!$F:$F,'Arrangement Tracker'!$D:$D,$A29,'Arrangement Tracker'!$E:$E,$C29),0)</f>
        <v>0</v>
      </c>
      <c r="G29">
        <f>IFERROR(SUMIFS('Losses &amp; Damages'!$E:$E,'Losses &amp; Damages'!$C:$C,$A29,'Losses &amp; Damages'!$D:$D,$C29),0)</f>
        <v>0</v>
      </c>
      <c r="H29">
        <f t="shared" si="0"/>
        <v>0</v>
      </c>
    </row>
    <row r="30" spans="1:8" x14ac:dyDescent="0.25">
      <c r="A30" s="1"/>
      <c r="B30" s="1"/>
      <c r="C30" s="1"/>
      <c r="D30" s="1"/>
      <c r="E30">
        <f>IFERROR(SUMIFS('Stock Received'!$F:$F,'Stock Received'!$D:$D,$A30,'Stock Received'!$E:$E,$C30),0)</f>
        <v>0</v>
      </c>
      <c r="F30">
        <f>IFERROR(SUMIFS('Arrangement Tracker'!$F:$F,'Arrangement Tracker'!$D:$D,$A30,'Arrangement Tracker'!$E:$E,$C30),0)</f>
        <v>0</v>
      </c>
      <c r="G30">
        <f>IFERROR(SUMIFS('Losses &amp; Damages'!$E:$E,'Losses &amp; Damages'!$C:$C,$A30,'Losses &amp; Damages'!$D:$D,$C30),0)</f>
        <v>0</v>
      </c>
      <c r="H30">
        <f t="shared" si="0"/>
        <v>0</v>
      </c>
    </row>
    <row r="31" spans="1:8" x14ac:dyDescent="0.25">
      <c r="A31" s="1"/>
      <c r="B31" s="1"/>
      <c r="C31" s="1"/>
      <c r="D31" s="1"/>
      <c r="E31">
        <f>IFERROR(SUMIFS('Stock Received'!$F:$F,'Stock Received'!$D:$D,$A31,'Stock Received'!$E:$E,$C31),0)</f>
        <v>0</v>
      </c>
      <c r="F31">
        <f>IFERROR(SUMIFS('Arrangement Tracker'!$F:$F,'Arrangement Tracker'!$D:$D,$A31,'Arrangement Tracker'!$E:$E,$C31),0)</f>
        <v>0</v>
      </c>
      <c r="G31">
        <f>IFERROR(SUMIFS('Losses &amp; Damages'!$E:$E,'Losses &amp; Damages'!$C:$C,$A31,'Losses &amp; Damages'!$D:$D,$C31),0)</f>
        <v>0</v>
      </c>
      <c r="H31">
        <f t="shared" si="0"/>
        <v>0</v>
      </c>
    </row>
    <row r="32" spans="1:8" x14ac:dyDescent="0.25">
      <c r="A32" s="1"/>
      <c r="B32" s="1"/>
      <c r="C32" s="1"/>
      <c r="D32" s="1"/>
      <c r="E32">
        <f>IFERROR(SUMIFS('Stock Received'!$F:$F,'Stock Received'!$D:$D,$A32,'Stock Received'!$E:$E,$C32),0)</f>
        <v>0</v>
      </c>
      <c r="F32">
        <f>IFERROR(SUMIFS('Arrangement Tracker'!$F:$F,'Arrangement Tracker'!$D:$D,$A32,'Arrangement Tracker'!$E:$E,$C32),0)</f>
        <v>0</v>
      </c>
      <c r="G32">
        <f>IFERROR(SUMIFS('Losses &amp; Damages'!$E:$E,'Losses &amp; Damages'!$C:$C,$A32,'Losses &amp; Damages'!$D:$D,$C32),0)</f>
        <v>0</v>
      </c>
      <c r="H32">
        <f t="shared" si="0"/>
        <v>0</v>
      </c>
    </row>
    <row r="33" spans="1:8" x14ac:dyDescent="0.25">
      <c r="A33" s="1"/>
      <c r="B33" s="1"/>
      <c r="C33" s="1"/>
      <c r="D33" s="1"/>
      <c r="E33">
        <f>IFERROR(SUMIFS('Stock Received'!$F:$F,'Stock Received'!$D:$D,$A33,'Stock Received'!$E:$E,$C33),0)</f>
        <v>0</v>
      </c>
      <c r="F33">
        <f>IFERROR(SUMIFS('Arrangement Tracker'!$F:$F,'Arrangement Tracker'!$D:$D,$A33,'Arrangement Tracker'!$E:$E,$C33),0)</f>
        <v>0</v>
      </c>
      <c r="G33">
        <f>IFERROR(SUMIFS('Losses &amp; Damages'!$E:$E,'Losses &amp; Damages'!$C:$C,$A33,'Losses &amp; Damages'!$D:$D,$C33),0)</f>
        <v>0</v>
      </c>
      <c r="H33">
        <f t="shared" si="0"/>
        <v>0</v>
      </c>
    </row>
    <row r="34" spans="1:8" x14ac:dyDescent="0.25">
      <c r="A34" s="1"/>
      <c r="B34" s="1"/>
      <c r="C34" s="1"/>
      <c r="D34" s="1"/>
      <c r="E34">
        <f>IFERROR(SUMIFS('Stock Received'!$F:$F,'Stock Received'!$D:$D,$A34,'Stock Received'!$E:$E,$C34),0)</f>
        <v>0</v>
      </c>
      <c r="F34">
        <f>IFERROR(SUMIFS('Arrangement Tracker'!$F:$F,'Arrangement Tracker'!$D:$D,$A34,'Arrangement Tracker'!$E:$E,$C34),0)</f>
        <v>0</v>
      </c>
      <c r="G34">
        <f>IFERROR(SUMIFS('Losses &amp; Damages'!$E:$E,'Losses &amp; Damages'!$C:$C,$A34,'Losses &amp; Damages'!$D:$D,$C34),0)</f>
        <v>0</v>
      </c>
      <c r="H34">
        <f t="shared" si="0"/>
        <v>0</v>
      </c>
    </row>
    <row r="35" spans="1:8" x14ac:dyDescent="0.25">
      <c r="A35" s="1"/>
      <c r="B35" s="1"/>
      <c r="C35" s="1"/>
      <c r="D35" s="1"/>
      <c r="E35">
        <f>IFERROR(SUMIFS('Stock Received'!$F:$F,'Stock Received'!$D:$D,$A35,'Stock Received'!$E:$E,$C35),0)</f>
        <v>0</v>
      </c>
      <c r="F35">
        <f>IFERROR(SUMIFS('Arrangement Tracker'!$F:$F,'Arrangement Tracker'!$D:$D,$A35,'Arrangement Tracker'!$E:$E,$C35),0)</f>
        <v>0</v>
      </c>
      <c r="G35">
        <f>IFERROR(SUMIFS('Losses &amp; Damages'!$E:$E,'Losses &amp; Damages'!$C:$C,$A35,'Losses &amp; Damages'!$D:$D,$C35),0)</f>
        <v>0</v>
      </c>
      <c r="H35">
        <f t="shared" si="0"/>
        <v>0</v>
      </c>
    </row>
    <row r="36" spans="1:8" x14ac:dyDescent="0.25">
      <c r="A36" s="1"/>
      <c r="B36" s="1"/>
      <c r="C36" s="1"/>
      <c r="D36" s="1"/>
      <c r="E36">
        <f>IFERROR(SUMIFS('Stock Received'!$F:$F,'Stock Received'!$D:$D,$A36,'Stock Received'!$E:$E,$C36),0)</f>
        <v>0</v>
      </c>
      <c r="F36">
        <f>IFERROR(SUMIFS('Arrangement Tracker'!$F:$F,'Arrangement Tracker'!$D:$D,$A36,'Arrangement Tracker'!$E:$E,$C36),0)</f>
        <v>0</v>
      </c>
      <c r="G36">
        <f>IFERROR(SUMIFS('Losses &amp; Damages'!$E:$E,'Losses &amp; Damages'!$C:$C,$A36,'Losses &amp; Damages'!$D:$D,$C36),0)</f>
        <v>0</v>
      </c>
      <c r="H36">
        <f t="shared" si="0"/>
        <v>0</v>
      </c>
    </row>
    <row r="37" spans="1:8" x14ac:dyDescent="0.25">
      <c r="A37" s="1"/>
      <c r="B37" s="1"/>
      <c r="C37" s="1"/>
      <c r="D37" s="1"/>
      <c r="E37">
        <f>IFERROR(SUMIFS('Stock Received'!$F:$F,'Stock Received'!$D:$D,$A37,'Stock Received'!$E:$E,$C37),0)</f>
        <v>0</v>
      </c>
      <c r="F37">
        <f>IFERROR(SUMIFS('Arrangement Tracker'!$F:$F,'Arrangement Tracker'!$D:$D,$A37,'Arrangement Tracker'!$E:$E,$C37),0)</f>
        <v>0</v>
      </c>
      <c r="G37">
        <f>IFERROR(SUMIFS('Losses &amp; Damages'!$E:$E,'Losses &amp; Damages'!$C:$C,$A37,'Losses &amp; Damages'!$D:$D,$C37),0)</f>
        <v>0</v>
      </c>
      <c r="H37">
        <f t="shared" si="0"/>
        <v>0</v>
      </c>
    </row>
    <row r="38" spans="1:8" x14ac:dyDescent="0.25">
      <c r="A38" s="1"/>
      <c r="B38" s="1"/>
      <c r="C38" s="1"/>
      <c r="D38" s="1"/>
      <c r="E38">
        <f>IFERROR(SUMIFS('Stock Received'!$F:$F,'Stock Received'!$D:$D,$A38,'Stock Received'!$E:$E,$C38),0)</f>
        <v>0</v>
      </c>
      <c r="F38">
        <f>IFERROR(SUMIFS('Arrangement Tracker'!$F:$F,'Arrangement Tracker'!$D:$D,$A38,'Arrangement Tracker'!$E:$E,$C38),0)</f>
        <v>0</v>
      </c>
      <c r="G38">
        <f>IFERROR(SUMIFS('Losses &amp; Damages'!$E:$E,'Losses &amp; Damages'!$C:$C,$A38,'Losses &amp; Damages'!$D:$D,$C38),0)</f>
        <v>0</v>
      </c>
      <c r="H38">
        <f t="shared" si="0"/>
        <v>0</v>
      </c>
    </row>
    <row r="39" spans="1:8" x14ac:dyDescent="0.25">
      <c r="A39" s="1"/>
      <c r="B39" s="1"/>
      <c r="C39" s="1"/>
      <c r="D39" s="1"/>
      <c r="E39">
        <f>IFERROR(SUMIFS('Stock Received'!$F:$F,'Stock Received'!$D:$D,$A39,'Stock Received'!$E:$E,$C39),0)</f>
        <v>0</v>
      </c>
      <c r="F39">
        <f>IFERROR(SUMIFS('Arrangement Tracker'!$F:$F,'Arrangement Tracker'!$D:$D,$A39,'Arrangement Tracker'!$E:$E,$C39),0)</f>
        <v>0</v>
      </c>
      <c r="G39">
        <f>IFERROR(SUMIFS('Losses &amp; Damages'!$E:$E,'Losses &amp; Damages'!$C:$C,$A39,'Losses &amp; Damages'!$D:$D,$C39),0)</f>
        <v>0</v>
      </c>
      <c r="H39">
        <f t="shared" si="0"/>
        <v>0</v>
      </c>
    </row>
    <row r="40" spans="1:8" x14ac:dyDescent="0.25">
      <c r="A40" s="1"/>
      <c r="B40" s="1"/>
      <c r="C40" s="1"/>
      <c r="D40" s="1"/>
      <c r="E40">
        <f>IFERROR(SUMIFS('Stock Received'!$F:$F,'Stock Received'!$D:$D,$A40,'Stock Received'!$E:$E,$C40),0)</f>
        <v>0</v>
      </c>
      <c r="F40">
        <f>IFERROR(SUMIFS('Arrangement Tracker'!$F:$F,'Arrangement Tracker'!$D:$D,$A40,'Arrangement Tracker'!$E:$E,$C40),0)</f>
        <v>0</v>
      </c>
      <c r="G40">
        <f>IFERROR(SUMIFS('Losses &amp; Damages'!$E:$E,'Losses &amp; Damages'!$C:$C,$A40,'Losses &amp; Damages'!$D:$D,$C40),0)</f>
        <v>0</v>
      </c>
      <c r="H40">
        <f t="shared" si="0"/>
        <v>0</v>
      </c>
    </row>
    <row r="41" spans="1:8" x14ac:dyDescent="0.25">
      <c r="A41" s="1"/>
      <c r="B41" s="1"/>
      <c r="C41" s="1"/>
      <c r="D41" s="1"/>
      <c r="E41">
        <f>IFERROR(SUMIFS('Stock Received'!$F:$F,'Stock Received'!$D:$D,$A41,'Stock Received'!$E:$E,$C41),0)</f>
        <v>0</v>
      </c>
      <c r="F41">
        <f>IFERROR(SUMIFS('Arrangement Tracker'!$F:$F,'Arrangement Tracker'!$D:$D,$A41,'Arrangement Tracker'!$E:$E,$C41),0)</f>
        <v>0</v>
      </c>
      <c r="G41">
        <f>IFERROR(SUMIFS('Losses &amp; Damages'!$E:$E,'Losses &amp; Damages'!$C:$C,$A41,'Losses &amp; Damages'!$D:$D,$C41),0)</f>
        <v>0</v>
      </c>
      <c r="H41">
        <f t="shared" si="0"/>
        <v>0</v>
      </c>
    </row>
    <row r="42" spans="1:8" x14ac:dyDescent="0.25">
      <c r="A42" s="1"/>
      <c r="B42" s="1"/>
      <c r="C42" s="1"/>
      <c r="D42" s="1"/>
      <c r="E42">
        <f>IFERROR(SUMIFS('Stock Received'!$F:$F,'Stock Received'!$D:$D,$A42,'Stock Received'!$E:$E,$C42),0)</f>
        <v>0</v>
      </c>
      <c r="F42">
        <f>IFERROR(SUMIFS('Arrangement Tracker'!$F:$F,'Arrangement Tracker'!$D:$D,$A42,'Arrangement Tracker'!$E:$E,$C42),0)</f>
        <v>0</v>
      </c>
      <c r="G42">
        <f>IFERROR(SUMIFS('Losses &amp; Damages'!$E:$E,'Losses &amp; Damages'!$C:$C,$A42,'Losses &amp; Damages'!$D:$D,$C42),0)</f>
        <v>0</v>
      </c>
      <c r="H42">
        <f t="shared" si="0"/>
        <v>0</v>
      </c>
    </row>
    <row r="43" spans="1:8" x14ac:dyDescent="0.25">
      <c r="A43" s="1"/>
      <c r="B43" s="1"/>
      <c r="C43" s="1"/>
      <c r="D43" s="1"/>
      <c r="E43">
        <f>IFERROR(SUMIFS('Stock Received'!$F:$F,'Stock Received'!$D:$D,$A43,'Stock Received'!$E:$E,$C43),0)</f>
        <v>0</v>
      </c>
      <c r="F43">
        <f>IFERROR(SUMIFS('Arrangement Tracker'!$F:$F,'Arrangement Tracker'!$D:$D,$A43,'Arrangement Tracker'!$E:$E,$C43),0)</f>
        <v>0</v>
      </c>
      <c r="G43">
        <f>IFERROR(SUMIFS('Losses &amp; Damages'!$E:$E,'Losses &amp; Damages'!$C:$C,$A43,'Losses &amp; Damages'!$D:$D,$C43),0)</f>
        <v>0</v>
      </c>
      <c r="H43">
        <f t="shared" si="0"/>
        <v>0</v>
      </c>
    </row>
    <row r="44" spans="1:8" x14ac:dyDescent="0.25">
      <c r="A44" s="1"/>
      <c r="B44" s="1"/>
      <c r="C44" s="1"/>
      <c r="D44" s="1"/>
      <c r="E44">
        <f>IFERROR(SUMIFS('Stock Received'!$F:$F,'Stock Received'!$D:$D,$A44,'Stock Received'!$E:$E,$C44),0)</f>
        <v>0</v>
      </c>
      <c r="F44">
        <f>IFERROR(SUMIFS('Arrangement Tracker'!$F:$F,'Arrangement Tracker'!$D:$D,$A44,'Arrangement Tracker'!$E:$E,$C44),0)</f>
        <v>0</v>
      </c>
      <c r="G44">
        <f>IFERROR(SUMIFS('Losses &amp; Damages'!$E:$E,'Losses &amp; Damages'!$C:$C,$A44,'Losses &amp; Damages'!$D:$D,$C44),0)</f>
        <v>0</v>
      </c>
      <c r="H44">
        <f t="shared" si="0"/>
        <v>0</v>
      </c>
    </row>
    <row r="45" spans="1:8" x14ac:dyDescent="0.25">
      <c r="A45" s="1"/>
      <c r="B45" s="1"/>
      <c r="C45" s="1"/>
      <c r="D45" s="1"/>
      <c r="E45">
        <f>IFERROR(SUMIFS('Stock Received'!$F:$F,'Stock Received'!$D:$D,$A45,'Stock Received'!$E:$E,$C45),0)</f>
        <v>0</v>
      </c>
      <c r="F45">
        <f>IFERROR(SUMIFS('Arrangement Tracker'!$F:$F,'Arrangement Tracker'!$D:$D,$A45,'Arrangement Tracker'!$E:$E,$C45),0)</f>
        <v>0</v>
      </c>
      <c r="G45">
        <f>IFERROR(SUMIFS('Losses &amp; Damages'!$E:$E,'Losses &amp; Damages'!$C:$C,$A45,'Losses &amp; Damages'!$D:$D,$C45),0)</f>
        <v>0</v>
      </c>
      <c r="H45">
        <f t="shared" si="0"/>
        <v>0</v>
      </c>
    </row>
    <row r="46" spans="1:8" x14ac:dyDescent="0.25">
      <c r="A46" s="1"/>
      <c r="B46" s="1"/>
      <c r="C46" s="1"/>
      <c r="D46" s="1"/>
      <c r="E46">
        <f>IFERROR(SUMIFS('Stock Received'!$F:$F,'Stock Received'!$D:$D,$A46,'Stock Received'!$E:$E,$C46),0)</f>
        <v>0</v>
      </c>
      <c r="F46">
        <f>IFERROR(SUMIFS('Arrangement Tracker'!$F:$F,'Arrangement Tracker'!$D:$D,$A46,'Arrangement Tracker'!$E:$E,$C46),0)</f>
        <v>0</v>
      </c>
      <c r="G46">
        <f>IFERROR(SUMIFS('Losses &amp; Damages'!$E:$E,'Losses &amp; Damages'!$C:$C,$A46,'Losses &amp; Damages'!$D:$D,$C46),0)</f>
        <v>0</v>
      </c>
      <c r="H46">
        <f t="shared" si="0"/>
        <v>0</v>
      </c>
    </row>
    <row r="47" spans="1:8" x14ac:dyDescent="0.25">
      <c r="A47" s="1"/>
      <c r="B47" s="1"/>
      <c r="C47" s="1"/>
      <c r="D47" s="1"/>
      <c r="E47">
        <f>IFERROR(SUMIFS('Stock Received'!$F:$F,'Stock Received'!$D:$D,$A47,'Stock Received'!$E:$E,$C47),0)</f>
        <v>0</v>
      </c>
      <c r="F47">
        <f>IFERROR(SUMIFS('Arrangement Tracker'!$F:$F,'Arrangement Tracker'!$D:$D,$A47,'Arrangement Tracker'!$E:$E,$C47),0)</f>
        <v>0</v>
      </c>
      <c r="G47">
        <f>IFERROR(SUMIFS('Losses &amp; Damages'!$E:$E,'Losses &amp; Damages'!$C:$C,$A47,'Losses &amp; Damages'!$D:$D,$C47),0)</f>
        <v>0</v>
      </c>
      <c r="H47">
        <f t="shared" si="0"/>
        <v>0</v>
      </c>
    </row>
    <row r="48" spans="1:8" x14ac:dyDescent="0.25">
      <c r="A48" s="1"/>
      <c r="B48" s="1"/>
      <c r="C48" s="1"/>
      <c r="D48" s="1"/>
      <c r="E48">
        <f>IFERROR(SUMIFS('Stock Received'!$F:$F,'Stock Received'!$D:$D,$A48,'Stock Received'!$E:$E,$C48),0)</f>
        <v>0</v>
      </c>
      <c r="F48">
        <f>IFERROR(SUMIFS('Arrangement Tracker'!$F:$F,'Arrangement Tracker'!$D:$D,$A48,'Arrangement Tracker'!$E:$E,$C48),0)</f>
        <v>0</v>
      </c>
      <c r="G48">
        <f>IFERROR(SUMIFS('Losses &amp; Damages'!$E:$E,'Losses &amp; Damages'!$C:$C,$A48,'Losses &amp; Damages'!$D:$D,$C48),0)</f>
        <v>0</v>
      </c>
      <c r="H48">
        <f t="shared" si="0"/>
        <v>0</v>
      </c>
    </row>
    <row r="49" spans="1:8" x14ac:dyDescent="0.25">
      <c r="A49" s="1"/>
      <c r="B49" s="1"/>
      <c r="C49" s="1"/>
      <c r="D49" s="1"/>
      <c r="E49">
        <f>IFERROR(SUMIFS('Stock Received'!$F:$F,'Stock Received'!$D:$D,$A49,'Stock Received'!$E:$E,$C49),0)</f>
        <v>0</v>
      </c>
      <c r="F49">
        <f>IFERROR(SUMIFS('Arrangement Tracker'!$F:$F,'Arrangement Tracker'!$D:$D,$A49,'Arrangement Tracker'!$E:$E,$C49),0)</f>
        <v>0</v>
      </c>
      <c r="G49">
        <f>IFERROR(SUMIFS('Losses &amp; Damages'!$E:$E,'Losses &amp; Damages'!$C:$C,$A49,'Losses &amp; Damages'!$D:$D,$C49),0)</f>
        <v>0</v>
      </c>
      <c r="H49">
        <f t="shared" si="0"/>
        <v>0</v>
      </c>
    </row>
    <row r="50" spans="1:8" x14ac:dyDescent="0.25">
      <c r="A50" s="1"/>
      <c r="B50" s="1"/>
      <c r="C50" s="1"/>
      <c r="D50" s="1"/>
      <c r="E50">
        <f>IFERROR(SUMIFS('Stock Received'!$F:$F,'Stock Received'!$D:$D,$A50,'Stock Received'!$E:$E,$C50),0)</f>
        <v>0</v>
      </c>
      <c r="F50">
        <f>IFERROR(SUMIFS('Arrangement Tracker'!$F:$F,'Arrangement Tracker'!$D:$D,$A50,'Arrangement Tracker'!$E:$E,$C50),0)</f>
        <v>0</v>
      </c>
      <c r="G50">
        <f>IFERROR(SUMIFS('Losses &amp; Damages'!$E:$E,'Losses &amp; Damages'!$C:$C,$A50,'Losses &amp; Damages'!$D:$D,$C50),0)</f>
        <v>0</v>
      </c>
      <c r="H50">
        <f t="shared" si="0"/>
        <v>0</v>
      </c>
    </row>
    <row r="51" spans="1:8" x14ac:dyDescent="0.25">
      <c r="A51" s="1"/>
      <c r="B51" s="1"/>
      <c r="C51" s="1"/>
      <c r="D51" s="1"/>
      <c r="E51">
        <f>IFERROR(SUMIFS('Stock Received'!$F:$F,'Stock Received'!$D:$D,$A51,'Stock Received'!$E:$E,$C51),0)</f>
        <v>0</v>
      </c>
      <c r="F51">
        <f>IFERROR(SUMIFS('Arrangement Tracker'!$F:$F,'Arrangement Tracker'!$D:$D,$A51,'Arrangement Tracker'!$E:$E,$C51),0)</f>
        <v>0</v>
      </c>
      <c r="G51">
        <f>IFERROR(SUMIFS('Losses &amp; Damages'!$E:$E,'Losses &amp; Damages'!$C:$C,$A51,'Losses &amp; Damages'!$D:$D,$C51),0)</f>
        <v>0</v>
      </c>
      <c r="H51">
        <f t="shared" si="0"/>
        <v>0</v>
      </c>
    </row>
    <row r="52" spans="1:8" x14ac:dyDescent="0.25">
      <c r="A52" s="1"/>
      <c r="B52" s="1"/>
      <c r="C52" s="1"/>
      <c r="D52" s="1"/>
      <c r="E52">
        <f>IFERROR(SUMIFS('Stock Received'!$F:$F,'Stock Received'!$D:$D,$A52,'Stock Received'!$E:$E,$C52),0)</f>
        <v>0</v>
      </c>
      <c r="F52">
        <f>IFERROR(SUMIFS('Arrangement Tracker'!$F:$F,'Arrangement Tracker'!$D:$D,$A52,'Arrangement Tracker'!$E:$E,$C52),0)</f>
        <v>0</v>
      </c>
      <c r="G52">
        <f>IFERROR(SUMIFS('Losses &amp; Damages'!$E:$E,'Losses &amp; Damages'!$C:$C,$A52,'Losses &amp; Damages'!$D:$D,$C52),0)</f>
        <v>0</v>
      </c>
      <c r="H52">
        <f t="shared" si="0"/>
        <v>0</v>
      </c>
    </row>
    <row r="53" spans="1:8" x14ac:dyDescent="0.25">
      <c r="A53" s="1"/>
      <c r="B53" s="1"/>
      <c r="C53" s="1"/>
      <c r="D53" s="1"/>
      <c r="E53">
        <f>IFERROR(SUMIFS('Stock Received'!$F:$F,'Stock Received'!$D:$D,$A53,'Stock Received'!$E:$E,$C53),0)</f>
        <v>0</v>
      </c>
      <c r="F53">
        <f>IFERROR(SUMIFS('Arrangement Tracker'!$F:$F,'Arrangement Tracker'!$D:$D,$A53,'Arrangement Tracker'!$E:$E,$C53),0)</f>
        <v>0</v>
      </c>
      <c r="G53">
        <f>IFERROR(SUMIFS('Losses &amp; Damages'!$E:$E,'Losses &amp; Damages'!$C:$C,$A53,'Losses &amp; Damages'!$D:$D,$C53),0)</f>
        <v>0</v>
      </c>
      <c r="H53">
        <f t="shared" si="0"/>
        <v>0</v>
      </c>
    </row>
    <row r="54" spans="1:8" x14ac:dyDescent="0.25">
      <c r="A54" s="1"/>
      <c r="B54" s="1"/>
      <c r="C54" s="1"/>
      <c r="D54" s="1"/>
      <c r="E54">
        <f>IFERROR(SUMIFS('Stock Received'!$F:$F,'Stock Received'!$D:$D,$A54,'Stock Received'!$E:$E,$C54),0)</f>
        <v>0</v>
      </c>
      <c r="F54">
        <f>IFERROR(SUMIFS('Arrangement Tracker'!$F:$F,'Arrangement Tracker'!$D:$D,$A54,'Arrangement Tracker'!$E:$E,$C54),0)</f>
        <v>0</v>
      </c>
      <c r="G54">
        <f>IFERROR(SUMIFS('Losses &amp; Damages'!$E:$E,'Losses &amp; Damages'!$C:$C,$A54,'Losses &amp; Damages'!$D:$D,$C54),0)</f>
        <v>0</v>
      </c>
      <c r="H54">
        <f t="shared" si="0"/>
        <v>0</v>
      </c>
    </row>
    <row r="55" spans="1:8" x14ac:dyDescent="0.25">
      <c r="A55" s="1"/>
      <c r="B55" s="1"/>
      <c r="C55" s="1"/>
      <c r="D55" s="1"/>
      <c r="E55">
        <f>IFERROR(SUMIFS('Stock Received'!$F:$F,'Stock Received'!$D:$D,$A55,'Stock Received'!$E:$E,$C55),0)</f>
        <v>0</v>
      </c>
      <c r="F55">
        <f>IFERROR(SUMIFS('Arrangement Tracker'!$F:$F,'Arrangement Tracker'!$D:$D,$A55,'Arrangement Tracker'!$E:$E,$C55),0)</f>
        <v>0</v>
      </c>
      <c r="G55">
        <f>IFERROR(SUMIFS('Losses &amp; Damages'!$E:$E,'Losses &amp; Damages'!$C:$C,$A55,'Losses &amp; Damages'!$D:$D,$C55),0)</f>
        <v>0</v>
      </c>
      <c r="H55">
        <f t="shared" si="0"/>
        <v>0</v>
      </c>
    </row>
    <row r="56" spans="1:8" x14ac:dyDescent="0.25">
      <c r="A56" s="1"/>
      <c r="B56" s="1"/>
      <c r="C56" s="1"/>
      <c r="D56" s="1"/>
      <c r="E56">
        <f>IFERROR(SUMIFS('Stock Received'!$F:$F,'Stock Received'!$D:$D,$A56,'Stock Received'!$E:$E,$C56),0)</f>
        <v>0</v>
      </c>
      <c r="F56">
        <f>IFERROR(SUMIFS('Arrangement Tracker'!$F:$F,'Arrangement Tracker'!$D:$D,$A56,'Arrangement Tracker'!$E:$E,$C56),0)</f>
        <v>0</v>
      </c>
      <c r="G56">
        <f>IFERROR(SUMIFS('Losses &amp; Damages'!$E:$E,'Losses &amp; Damages'!$C:$C,$A56,'Losses &amp; Damages'!$D:$D,$C56),0)</f>
        <v>0</v>
      </c>
      <c r="H56">
        <f t="shared" si="0"/>
        <v>0</v>
      </c>
    </row>
    <row r="57" spans="1:8" x14ac:dyDescent="0.25">
      <c r="A57" s="1"/>
      <c r="B57" s="1"/>
      <c r="C57" s="1"/>
      <c r="D57" s="1"/>
      <c r="E57">
        <f>IFERROR(SUMIFS('Stock Received'!$F:$F,'Stock Received'!$D:$D,$A57,'Stock Received'!$E:$E,$C57),0)</f>
        <v>0</v>
      </c>
      <c r="F57">
        <f>IFERROR(SUMIFS('Arrangement Tracker'!$F:$F,'Arrangement Tracker'!$D:$D,$A57,'Arrangement Tracker'!$E:$E,$C57),0)</f>
        <v>0</v>
      </c>
      <c r="G57">
        <f>IFERROR(SUMIFS('Losses &amp; Damages'!$E:$E,'Losses &amp; Damages'!$C:$C,$A57,'Losses &amp; Damages'!$D:$D,$C57),0)</f>
        <v>0</v>
      </c>
      <c r="H57">
        <f t="shared" si="0"/>
        <v>0</v>
      </c>
    </row>
    <row r="58" spans="1:8" x14ac:dyDescent="0.25">
      <c r="A58" s="1"/>
      <c r="B58" s="1"/>
      <c r="C58" s="1"/>
      <c r="D58" s="1"/>
      <c r="E58">
        <f>IFERROR(SUMIFS('Stock Received'!$F:$F,'Stock Received'!$D:$D,$A58,'Stock Received'!$E:$E,$C58),0)</f>
        <v>0</v>
      </c>
      <c r="F58">
        <f>IFERROR(SUMIFS('Arrangement Tracker'!$F:$F,'Arrangement Tracker'!$D:$D,$A58,'Arrangement Tracker'!$E:$E,$C58),0)</f>
        <v>0</v>
      </c>
      <c r="G58">
        <f>IFERROR(SUMIFS('Losses &amp; Damages'!$E:$E,'Losses &amp; Damages'!$C:$C,$A58,'Losses &amp; Damages'!$D:$D,$C58),0)</f>
        <v>0</v>
      </c>
      <c r="H58">
        <f t="shared" si="0"/>
        <v>0</v>
      </c>
    </row>
    <row r="59" spans="1:8" x14ac:dyDescent="0.25">
      <c r="A59" s="1"/>
      <c r="B59" s="1"/>
      <c r="C59" s="1"/>
      <c r="D59" s="1"/>
      <c r="E59">
        <f>IFERROR(SUMIFS('Stock Received'!$F:$F,'Stock Received'!$D:$D,$A59,'Stock Received'!$E:$E,$C59),0)</f>
        <v>0</v>
      </c>
      <c r="F59">
        <f>IFERROR(SUMIFS('Arrangement Tracker'!$F:$F,'Arrangement Tracker'!$D:$D,$A59,'Arrangement Tracker'!$E:$E,$C59),0)</f>
        <v>0</v>
      </c>
      <c r="G59">
        <f>IFERROR(SUMIFS('Losses &amp; Damages'!$E:$E,'Losses &amp; Damages'!$C:$C,$A59,'Losses &amp; Damages'!$D:$D,$C59),0)</f>
        <v>0</v>
      </c>
      <c r="H59">
        <f t="shared" si="0"/>
        <v>0</v>
      </c>
    </row>
    <row r="60" spans="1:8" x14ac:dyDescent="0.25">
      <c r="A60" s="1"/>
      <c r="B60" s="1"/>
      <c r="C60" s="1"/>
      <c r="D60" s="1"/>
      <c r="E60">
        <f>IFERROR(SUMIFS('Stock Received'!$F:$F,'Stock Received'!$D:$D,$A60,'Stock Received'!$E:$E,$C60),0)</f>
        <v>0</v>
      </c>
      <c r="F60">
        <f>IFERROR(SUMIFS('Arrangement Tracker'!$F:$F,'Arrangement Tracker'!$D:$D,$A60,'Arrangement Tracker'!$E:$E,$C60),0)</f>
        <v>0</v>
      </c>
      <c r="G60">
        <f>IFERROR(SUMIFS('Losses &amp; Damages'!$E:$E,'Losses &amp; Damages'!$C:$C,$A60,'Losses &amp; Damages'!$D:$D,$C60),0)</f>
        <v>0</v>
      </c>
      <c r="H60">
        <f t="shared" si="0"/>
        <v>0</v>
      </c>
    </row>
    <row r="61" spans="1:8" x14ac:dyDescent="0.25">
      <c r="A61" s="1"/>
      <c r="B61" s="1"/>
      <c r="C61" s="1"/>
      <c r="D61" s="1"/>
      <c r="E61">
        <f>IFERROR(SUMIFS('Stock Received'!$F:$F,'Stock Received'!$D:$D,$A61,'Stock Received'!$E:$E,$C61),0)</f>
        <v>0</v>
      </c>
      <c r="F61">
        <f>IFERROR(SUMIFS('Arrangement Tracker'!$F:$F,'Arrangement Tracker'!$D:$D,$A61,'Arrangement Tracker'!$E:$E,$C61),0)</f>
        <v>0</v>
      </c>
      <c r="G61">
        <f>IFERROR(SUMIFS('Losses &amp; Damages'!$E:$E,'Losses &amp; Damages'!$C:$C,$A61,'Losses &amp; Damages'!$D:$D,$C61),0)</f>
        <v>0</v>
      </c>
      <c r="H61">
        <f t="shared" si="0"/>
        <v>0</v>
      </c>
    </row>
    <row r="62" spans="1:8" x14ac:dyDescent="0.25">
      <c r="A62" s="1"/>
      <c r="B62" s="1"/>
      <c r="C62" s="1"/>
      <c r="D62" s="1"/>
      <c r="E62">
        <f>IFERROR(SUMIFS('Stock Received'!$F:$F,'Stock Received'!$D:$D,$A62,'Stock Received'!$E:$E,$C62),0)</f>
        <v>0</v>
      </c>
      <c r="F62">
        <f>IFERROR(SUMIFS('Arrangement Tracker'!$F:$F,'Arrangement Tracker'!$D:$D,$A62,'Arrangement Tracker'!$E:$E,$C62),0)</f>
        <v>0</v>
      </c>
      <c r="G62">
        <f>IFERROR(SUMIFS('Losses &amp; Damages'!$E:$E,'Losses &amp; Damages'!$C:$C,$A62,'Losses &amp; Damages'!$D:$D,$C62),0)</f>
        <v>0</v>
      </c>
      <c r="H62">
        <f t="shared" si="0"/>
        <v>0</v>
      </c>
    </row>
    <row r="63" spans="1:8" x14ac:dyDescent="0.25">
      <c r="A63" s="1"/>
      <c r="B63" s="1"/>
      <c r="C63" s="1"/>
      <c r="D63" s="1"/>
      <c r="E63">
        <f>IFERROR(SUMIFS('Stock Received'!$F:$F,'Stock Received'!$D:$D,$A63,'Stock Received'!$E:$E,$C63),0)</f>
        <v>0</v>
      </c>
      <c r="F63">
        <f>IFERROR(SUMIFS('Arrangement Tracker'!$F:$F,'Arrangement Tracker'!$D:$D,$A63,'Arrangement Tracker'!$E:$E,$C63),0)</f>
        <v>0</v>
      </c>
      <c r="G63">
        <f>IFERROR(SUMIFS('Losses &amp; Damages'!$E:$E,'Losses &amp; Damages'!$C:$C,$A63,'Losses &amp; Damages'!$D:$D,$C63),0)</f>
        <v>0</v>
      </c>
      <c r="H63">
        <f t="shared" si="0"/>
        <v>0</v>
      </c>
    </row>
    <row r="64" spans="1:8" x14ac:dyDescent="0.25">
      <c r="A64" s="1"/>
      <c r="B64" s="1"/>
      <c r="C64" s="1"/>
      <c r="D64" s="1"/>
      <c r="E64">
        <f>IFERROR(SUMIFS('Stock Received'!$F:$F,'Stock Received'!$D:$D,$A64,'Stock Received'!$E:$E,$C64),0)</f>
        <v>0</v>
      </c>
      <c r="F64">
        <f>IFERROR(SUMIFS('Arrangement Tracker'!$F:$F,'Arrangement Tracker'!$D:$D,$A64,'Arrangement Tracker'!$E:$E,$C64),0)</f>
        <v>0</v>
      </c>
      <c r="G64">
        <f>IFERROR(SUMIFS('Losses &amp; Damages'!$E:$E,'Losses &amp; Damages'!$C:$C,$A64,'Losses &amp; Damages'!$D:$D,$C64),0)</f>
        <v>0</v>
      </c>
      <c r="H64">
        <f t="shared" si="0"/>
        <v>0</v>
      </c>
    </row>
    <row r="65" spans="1:8" x14ac:dyDescent="0.25">
      <c r="A65" s="1"/>
      <c r="B65" s="1"/>
      <c r="C65" s="1"/>
      <c r="D65" s="1"/>
      <c r="E65">
        <f>IFERROR(SUMIFS('Stock Received'!$F:$F,'Stock Received'!$D:$D,$A65,'Stock Received'!$E:$E,$C65),0)</f>
        <v>0</v>
      </c>
      <c r="F65">
        <f>IFERROR(SUMIFS('Arrangement Tracker'!$F:$F,'Arrangement Tracker'!$D:$D,$A65,'Arrangement Tracker'!$E:$E,$C65),0)</f>
        <v>0</v>
      </c>
      <c r="G65">
        <f>IFERROR(SUMIFS('Losses &amp; Damages'!$E:$E,'Losses &amp; Damages'!$C:$C,$A65,'Losses &amp; Damages'!$D:$D,$C65),0)</f>
        <v>0</v>
      </c>
      <c r="H65">
        <f t="shared" si="0"/>
        <v>0</v>
      </c>
    </row>
    <row r="66" spans="1:8" x14ac:dyDescent="0.25">
      <c r="A66" s="1"/>
      <c r="B66" s="1"/>
      <c r="C66" s="1"/>
      <c r="D66" s="1"/>
      <c r="E66">
        <f>IFERROR(SUMIFS('Stock Received'!$F:$F,'Stock Received'!$D:$D,$A66,'Stock Received'!$E:$E,$C66),0)</f>
        <v>0</v>
      </c>
      <c r="F66">
        <f>IFERROR(SUMIFS('Arrangement Tracker'!$F:$F,'Arrangement Tracker'!$D:$D,$A66,'Arrangement Tracker'!$E:$E,$C66),0)</f>
        <v>0</v>
      </c>
      <c r="G66">
        <f>IFERROR(SUMIFS('Losses &amp; Damages'!$E:$E,'Losses &amp; Damages'!$C:$C,$A66,'Losses &amp; Damages'!$D:$D,$C66),0)</f>
        <v>0</v>
      </c>
      <c r="H66">
        <f t="shared" ref="H66:H129" si="1">IFERROR(D66+E66-F66-G66,0)</f>
        <v>0</v>
      </c>
    </row>
    <row r="67" spans="1:8" x14ac:dyDescent="0.25">
      <c r="A67" s="1"/>
      <c r="B67" s="1"/>
      <c r="C67" s="1"/>
      <c r="D67" s="1"/>
      <c r="E67">
        <f>IFERROR(SUMIFS('Stock Received'!$F:$F,'Stock Received'!$D:$D,$A67,'Stock Received'!$E:$E,$C67),0)</f>
        <v>0</v>
      </c>
      <c r="F67">
        <f>IFERROR(SUMIFS('Arrangement Tracker'!$F:$F,'Arrangement Tracker'!$D:$D,$A67,'Arrangement Tracker'!$E:$E,$C67),0)</f>
        <v>0</v>
      </c>
      <c r="G67">
        <f>IFERROR(SUMIFS('Losses &amp; Damages'!$E:$E,'Losses &amp; Damages'!$C:$C,$A67,'Losses &amp; Damages'!$D:$D,$C67),0)</f>
        <v>0</v>
      </c>
      <c r="H67">
        <f t="shared" si="1"/>
        <v>0</v>
      </c>
    </row>
    <row r="68" spans="1:8" x14ac:dyDescent="0.25">
      <c r="A68" s="1"/>
      <c r="B68" s="1"/>
      <c r="C68" s="1"/>
      <c r="D68" s="1"/>
      <c r="E68">
        <f>IFERROR(SUMIFS('Stock Received'!$F:$F,'Stock Received'!$D:$D,$A68,'Stock Received'!$E:$E,$C68),0)</f>
        <v>0</v>
      </c>
      <c r="F68">
        <f>IFERROR(SUMIFS('Arrangement Tracker'!$F:$F,'Arrangement Tracker'!$D:$D,$A68,'Arrangement Tracker'!$E:$E,$C68),0)</f>
        <v>0</v>
      </c>
      <c r="G68">
        <f>IFERROR(SUMIFS('Losses &amp; Damages'!$E:$E,'Losses &amp; Damages'!$C:$C,$A68,'Losses &amp; Damages'!$D:$D,$C68),0)</f>
        <v>0</v>
      </c>
      <c r="H68">
        <f t="shared" si="1"/>
        <v>0</v>
      </c>
    </row>
    <row r="69" spans="1:8" x14ac:dyDescent="0.25">
      <c r="A69" s="1"/>
      <c r="B69" s="1"/>
      <c r="C69" s="1"/>
      <c r="D69" s="1"/>
      <c r="E69">
        <f>IFERROR(SUMIFS('Stock Received'!$F:$F,'Stock Received'!$D:$D,$A69,'Stock Received'!$E:$E,$C69),0)</f>
        <v>0</v>
      </c>
      <c r="F69">
        <f>IFERROR(SUMIFS('Arrangement Tracker'!$F:$F,'Arrangement Tracker'!$D:$D,$A69,'Arrangement Tracker'!$E:$E,$C69),0)</f>
        <v>0</v>
      </c>
      <c r="G69">
        <f>IFERROR(SUMIFS('Losses &amp; Damages'!$E:$E,'Losses &amp; Damages'!$C:$C,$A69,'Losses &amp; Damages'!$D:$D,$C69),0)</f>
        <v>0</v>
      </c>
      <c r="H69">
        <f t="shared" si="1"/>
        <v>0</v>
      </c>
    </row>
    <row r="70" spans="1:8" x14ac:dyDescent="0.25">
      <c r="A70" s="1"/>
      <c r="B70" s="1"/>
      <c r="C70" s="1"/>
      <c r="D70" s="1"/>
      <c r="E70">
        <f>IFERROR(SUMIFS('Stock Received'!$F:$F,'Stock Received'!$D:$D,$A70,'Stock Received'!$E:$E,$C70),0)</f>
        <v>0</v>
      </c>
      <c r="F70">
        <f>IFERROR(SUMIFS('Arrangement Tracker'!$F:$F,'Arrangement Tracker'!$D:$D,$A70,'Arrangement Tracker'!$E:$E,$C70),0)</f>
        <v>0</v>
      </c>
      <c r="G70">
        <f>IFERROR(SUMIFS('Losses &amp; Damages'!$E:$E,'Losses &amp; Damages'!$C:$C,$A70,'Losses &amp; Damages'!$D:$D,$C70),0)</f>
        <v>0</v>
      </c>
      <c r="H70">
        <f t="shared" si="1"/>
        <v>0</v>
      </c>
    </row>
    <row r="71" spans="1:8" x14ac:dyDescent="0.25">
      <c r="A71" s="1"/>
      <c r="B71" s="1"/>
      <c r="C71" s="1"/>
      <c r="D71" s="1"/>
      <c r="E71">
        <f>IFERROR(SUMIFS('Stock Received'!$F:$F,'Stock Received'!$D:$D,$A71,'Stock Received'!$E:$E,$C71),0)</f>
        <v>0</v>
      </c>
      <c r="F71">
        <f>IFERROR(SUMIFS('Arrangement Tracker'!$F:$F,'Arrangement Tracker'!$D:$D,$A71,'Arrangement Tracker'!$E:$E,$C71),0)</f>
        <v>0</v>
      </c>
      <c r="G71">
        <f>IFERROR(SUMIFS('Losses &amp; Damages'!$E:$E,'Losses &amp; Damages'!$C:$C,$A71,'Losses &amp; Damages'!$D:$D,$C71),0)</f>
        <v>0</v>
      </c>
      <c r="H71">
        <f t="shared" si="1"/>
        <v>0</v>
      </c>
    </row>
    <row r="72" spans="1:8" x14ac:dyDescent="0.25">
      <c r="A72" s="1"/>
      <c r="B72" s="1"/>
      <c r="C72" s="1"/>
      <c r="D72" s="1"/>
      <c r="E72">
        <f>IFERROR(SUMIFS('Stock Received'!$F:$F,'Stock Received'!$D:$D,$A72,'Stock Received'!$E:$E,$C72),0)</f>
        <v>0</v>
      </c>
      <c r="F72">
        <f>IFERROR(SUMIFS('Arrangement Tracker'!$F:$F,'Arrangement Tracker'!$D:$D,$A72,'Arrangement Tracker'!$E:$E,$C72),0)</f>
        <v>0</v>
      </c>
      <c r="G72">
        <f>IFERROR(SUMIFS('Losses &amp; Damages'!$E:$E,'Losses &amp; Damages'!$C:$C,$A72,'Losses &amp; Damages'!$D:$D,$C72),0)</f>
        <v>0</v>
      </c>
      <c r="H72">
        <f t="shared" si="1"/>
        <v>0</v>
      </c>
    </row>
    <row r="73" spans="1:8" x14ac:dyDescent="0.25">
      <c r="A73" s="1"/>
      <c r="B73" s="1"/>
      <c r="C73" s="1"/>
      <c r="D73" s="1"/>
      <c r="E73">
        <f>IFERROR(SUMIFS('Stock Received'!$F:$F,'Stock Received'!$D:$D,$A73,'Stock Received'!$E:$E,$C73),0)</f>
        <v>0</v>
      </c>
      <c r="F73">
        <f>IFERROR(SUMIFS('Arrangement Tracker'!$F:$F,'Arrangement Tracker'!$D:$D,$A73,'Arrangement Tracker'!$E:$E,$C73),0)</f>
        <v>0</v>
      </c>
      <c r="G73">
        <f>IFERROR(SUMIFS('Losses &amp; Damages'!$E:$E,'Losses &amp; Damages'!$C:$C,$A73,'Losses &amp; Damages'!$D:$D,$C73),0)</f>
        <v>0</v>
      </c>
      <c r="H73">
        <f t="shared" si="1"/>
        <v>0</v>
      </c>
    </row>
    <row r="74" spans="1:8" x14ac:dyDescent="0.25">
      <c r="A74" s="1"/>
      <c r="B74" s="1"/>
      <c r="C74" s="1"/>
      <c r="D74" s="1"/>
      <c r="E74">
        <f>IFERROR(SUMIFS('Stock Received'!$F:$F,'Stock Received'!$D:$D,$A74,'Stock Received'!$E:$E,$C74),0)</f>
        <v>0</v>
      </c>
      <c r="F74">
        <f>IFERROR(SUMIFS('Arrangement Tracker'!$F:$F,'Arrangement Tracker'!$D:$D,$A74,'Arrangement Tracker'!$E:$E,$C74),0)</f>
        <v>0</v>
      </c>
      <c r="G74">
        <f>IFERROR(SUMIFS('Losses &amp; Damages'!$E:$E,'Losses &amp; Damages'!$C:$C,$A74,'Losses &amp; Damages'!$D:$D,$C74),0)</f>
        <v>0</v>
      </c>
      <c r="H74">
        <f t="shared" si="1"/>
        <v>0</v>
      </c>
    </row>
    <row r="75" spans="1:8" x14ac:dyDescent="0.25">
      <c r="A75" s="1"/>
      <c r="B75" s="1"/>
      <c r="C75" s="1"/>
      <c r="D75" s="1"/>
      <c r="E75">
        <f>IFERROR(SUMIFS('Stock Received'!$F:$F,'Stock Received'!$D:$D,$A75,'Stock Received'!$E:$E,$C75),0)</f>
        <v>0</v>
      </c>
      <c r="F75">
        <f>IFERROR(SUMIFS('Arrangement Tracker'!$F:$F,'Arrangement Tracker'!$D:$D,$A75,'Arrangement Tracker'!$E:$E,$C75),0)</f>
        <v>0</v>
      </c>
      <c r="G75">
        <f>IFERROR(SUMIFS('Losses &amp; Damages'!$E:$E,'Losses &amp; Damages'!$C:$C,$A75,'Losses &amp; Damages'!$D:$D,$C75),0)</f>
        <v>0</v>
      </c>
      <c r="H75">
        <f t="shared" si="1"/>
        <v>0</v>
      </c>
    </row>
    <row r="76" spans="1:8" x14ac:dyDescent="0.25">
      <c r="A76" s="1"/>
      <c r="B76" s="1"/>
      <c r="C76" s="1"/>
      <c r="D76" s="1"/>
      <c r="E76">
        <f>IFERROR(SUMIFS('Stock Received'!$F:$F,'Stock Received'!$D:$D,$A76,'Stock Received'!$E:$E,$C76),0)</f>
        <v>0</v>
      </c>
      <c r="F76">
        <f>IFERROR(SUMIFS('Arrangement Tracker'!$F:$F,'Arrangement Tracker'!$D:$D,$A76,'Arrangement Tracker'!$E:$E,$C76),0)</f>
        <v>0</v>
      </c>
      <c r="G76">
        <f>IFERROR(SUMIFS('Losses &amp; Damages'!$E:$E,'Losses &amp; Damages'!$C:$C,$A76,'Losses &amp; Damages'!$D:$D,$C76),0)</f>
        <v>0</v>
      </c>
      <c r="H76">
        <f t="shared" si="1"/>
        <v>0</v>
      </c>
    </row>
    <row r="77" spans="1:8" x14ac:dyDescent="0.25">
      <c r="A77" s="1"/>
      <c r="B77" s="1"/>
      <c r="C77" s="1"/>
      <c r="D77" s="1"/>
      <c r="E77">
        <f>IFERROR(SUMIFS('Stock Received'!$F:$F,'Stock Received'!$D:$D,$A77,'Stock Received'!$E:$E,$C77),0)</f>
        <v>0</v>
      </c>
      <c r="F77">
        <f>IFERROR(SUMIFS('Arrangement Tracker'!$F:$F,'Arrangement Tracker'!$D:$D,$A77,'Arrangement Tracker'!$E:$E,$C77),0)</f>
        <v>0</v>
      </c>
      <c r="G77">
        <f>IFERROR(SUMIFS('Losses &amp; Damages'!$E:$E,'Losses &amp; Damages'!$C:$C,$A77,'Losses &amp; Damages'!$D:$D,$C77),0)</f>
        <v>0</v>
      </c>
      <c r="H77">
        <f t="shared" si="1"/>
        <v>0</v>
      </c>
    </row>
    <row r="78" spans="1:8" x14ac:dyDescent="0.25">
      <c r="A78" s="1"/>
      <c r="B78" s="1"/>
      <c r="C78" s="1"/>
      <c r="D78" s="1"/>
      <c r="E78">
        <f>IFERROR(SUMIFS('Stock Received'!$F:$F,'Stock Received'!$D:$D,$A78,'Stock Received'!$E:$E,$C78),0)</f>
        <v>0</v>
      </c>
      <c r="F78">
        <f>IFERROR(SUMIFS('Arrangement Tracker'!$F:$F,'Arrangement Tracker'!$D:$D,$A78,'Arrangement Tracker'!$E:$E,$C78),0)</f>
        <v>0</v>
      </c>
      <c r="G78">
        <f>IFERROR(SUMIFS('Losses &amp; Damages'!$E:$E,'Losses &amp; Damages'!$C:$C,$A78,'Losses &amp; Damages'!$D:$D,$C78),0)</f>
        <v>0</v>
      </c>
      <c r="H78">
        <f t="shared" si="1"/>
        <v>0</v>
      </c>
    </row>
    <row r="79" spans="1:8" x14ac:dyDescent="0.25">
      <c r="A79" s="1"/>
      <c r="B79" s="1"/>
      <c r="C79" s="1"/>
      <c r="D79" s="1"/>
      <c r="E79">
        <f>IFERROR(SUMIFS('Stock Received'!$F:$F,'Stock Received'!$D:$D,$A79,'Stock Received'!$E:$E,$C79),0)</f>
        <v>0</v>
      </c>
      <c r="F79">
        <f>IFERROR(SUMIFS('Arrangement Tracker'!$F:$F,'Arrangement Tracker'!$D:$D,$A79,'Arrangement Tracker'!$E:$E,$C79),0)</f>
        <v>0</v>
      </c>
      <c r="G79">
        <f>IFERROR(SUMIFS('Losses &amp; Damages'!$E:$E,'Losses &amp; Damages'!$C:$C,$A79,'Losses &amp; Damages'!$D:$D,$C79),0)</f>
        <v>0</v>
      </c>
      <c r="H79">
        <f t="shared" si="1"/>
        <v>0</v>
      </c>
    </row>
    <row r="80" spans="1:8" x14ac:dyDescent="0.25">
      <c r="A80" s="1"/>
      <c r="B80" s="1"/>
      <c r="C80" s="1"/>
      <c r="D80" s="1"/>
      <c r="E80">
        <f>IFERROR(SUMIFS('Stock Received'!$F:$F,'Stock Received'!$D:$D,$A80,'Stock Received'!$E:$E,$C80),0)</f>
        <v>0</v>
      </c>
      <c r="F80">
        <f>IFERROR(SUMIFS('Arrangement Tracker'!$F:$F,'Arrangement Tracker'!$D:$D,$A80,'Arrangement Tracker'!$E:$E,$C80),0)</f>
        <v>0</v>
      </c>
      <c r="G80">
        <f>IFERROR(SUMIFS('Losses &amp; Damages'!$E:$E,'Losses &amp; Damages'!$C:$C,$A80,'Losses &amp; Damages'!$D:$D,$C80),0)</f>
        <v>0</v>
      </c>
      <c r="H80">
        <f t="shared" si="1"/>
        <v>0</v>
      </c>
    </row>
    <row r="81" spans="1:8" x14ac:dyDescent="0.25">
      <c r="A81" s="1"/>
      <c r="B81" s="1"/>
      <c r="C81" s="1"/>
      <c r="D81" s="1"/>
      <c r="E81">
        <f>IFERROR(SUMIFS('Stock Received'!$F:$F,'Stock Received'!$D:$D,$A81,'Stock Received'!$E:$E,$C81),0)</f>
        <v>0</v>
      </c>
      <c r="F81">
        <f>IFERROR(SUMIFS('Arrangement Tracker'!$F:$F,'Arrangement Tracker'!$D:$D,$A81,'Arrangement Tracker'!$E:$E,$C81),0)</f>
        <v>0</v>
      </c>
      <c r="G81">
        <f>IFERROR(SUMIFS('Losses &amp; Damages'!$E:$E,'Losses &amp; Damages'!$C:$C,$A81,'Losses &amp; Damages'!$D:$D,$C81),0)</f>
        <v>0</v>
      </c>
      <c r="H81">
        <f t="shared" si="1"/>
        <v>0</v>
      </c>
    </row>
    <row r="82" spans="1:8" x14ac:dyDescent="0.25">
      <c r="A82" s="1"/>
      <c r="B82" s="1"/>
      <c r="C82" s="1"/>
      <c r="D82" s="1"/>
      <c r="E82">
        <f>IFERROR(SUMIFS('Stock Received'!$F:$F,'Stock Received'!$D:$D,$A82,'Stock Received'!$E:$E,$C82),0)</f>
        <v>0</v>
      </c>
      <c r="F82">
        <f>IFERROR(SUMIFS('Arrangement Tracker'!$F:$F,'Arrangement Tracker'!$D:$D,$A82,'Arrangement Tracker'!$E:$E,$C82),0)</f>
        <v>0</v>
      </c>
      <c r="G82">
        <f>IFERROR(SUMIFS('Losses &amp; Damages'!$E:$E,'Losses &amp; Damages'!$C:$C,$A82,'Losses &amp; Damages'!$D:$D,$C82),0)</f>
        <v>0</v>
      </c>
      <c r="H82">
        <f t="shared" si="1"/>
        <v>0</v>
      </c>
    </row>
    <row r="83" spans="1:8" x14ac:dyDescent="0.25">
      <c r="A83" s="1"/>
      <c r="B83" s="1"/>
      <c r="C83" s="1"/>
      <c r="D83" s="1"/>
      <c r="E83">
        <f>IFERROR(SUMIFS('Stock Received'!$F:$F,'Stock Received'!$D:$D,$A83,'Stock Received'!$E:$E,$C83),0)</f>
        <v>0</v>
      </c>
      <c r="F83">
        <f>IFERROR(SUMIFS('Arrangement Tracker'!$F:$F,'Arrangement Tracker'!$D:$D,$A83,'Arrangement Tracker'!$E:$E,$C83),0)</f>
        <v>0</v>
      </c>
      <c r="G83">
        <f>IFERROR(SUMIFS('Losses &amp; Damages'!$E:$E,'Losses &amp; Damages'!$C:$C,$A83,'Losses &amp; Damages'!$D:$D,$C83),0)</f>
        <v>0</v>
      </c>
      <c r="H83">
        <f t="shared" si="1"/>
        <v>0</v>
      </c>
    </row>
    <row r="84" spans="1:8" x14ac:dyDescent="0.25">
      <c r="A84" s="1"/>
      <c r="B84" s="1"/>
      <c r="C84" s="1"/>
      <c r="D84" s="1"/>
      <c r="E84">
        <f>IFERROR(SUMIFS('Stock Received'!$F:$F,'Stock Received'!$D:$D,$A84,'Stock Received'!$E:$E,$C84),0)</f>
        <v>0</v>
      </c>
      <c r="F84">
        <f>IFERROR(SUMIFS('Arrangement Tracker'!$F:$F,'Arrangement Tracker'!$D:$D,$A84,'Arrangement Tracker'!$E:$E,$C84),0)</f>
        <v>0</v>
      </c>
      <c r="G84">
        <f>IFERROR(SUMIFS('Losses &amp; Damages'!$E:$E,'Losses &amp; Damages'!$C:$C,$A84,'Losses &amp; Damages'!$D:$D,$C84),0)</f>
        <v>0</v>
      </c>
      <c r="H84">
        <f t="shared" si="1"/>
        <v>0</v>
      </c>
    </row>
    <row r="85" spans="1:8" x14ac:dyDescent="0.25">
      <c r="A85" s="1"/>
      <c r="B85" s="1"/>
      <c r="C85" s="1"/>
      <c r="D85" s="1"/>
      <c r="E85">
        <f>IFERROR(SUMIFS('Stock Received'!$F:$F,'Stock Received'!$D:$D,$A85,'Stock Received'!$E:$E,$C85),0)</f>
        <v>0</v>
      </c>
      <c r="F85">
        <f>IFERROR(SUMIFS('Arrangement Tracker'!$F:$F,'Arrangement Tracker'!$D:$D,$A85,'Arrangement Tracker'!$E:$E,$C85),0)</f>
        <v>0</v>
      </c>
      <c r="G85">
        <f>IFERROR(SUMIFS('Losses &amp; Damages'!$E:$E,'Losses &amp; Damages'!$C:$C,$A85,'Losses &amp; Damages'!$D:$D,$C85),0)</f>
        <v>0</v>
      </c>
      <c r="H85">
        <f t="shared" si="1"/>
        <v>0</v>
      </c>
    </row>
    <row r="86" spans="1:8" x14ac:dyDescent="0.25">
      <c r="A86" s="1"/>
      <c r="B86" s="1"/>
      <c r="C86" s="1"/>
      <c r="D86" s="1"/>
      <c r="E86">
        <f>IFERROR(SUMIFS('Stock Received'!$F:$F,'Stock Received'!$D:$D,$A86,'Stock Received'!$E:$E,$C86),0)</f>
        <v>0</v>
      </c>
      <c r="F86">
        <f>IFERROR(SUMIFS('Arrangement Tracker'!$F:$F,'Arrangement Tracker'!$D:$D,$A86,'Arrangement Tracker'!$E:$E,$C86),0)</f>
        <v>0</v>
      </c>
      <c r="G86">
        <f>IFERROR(SUMIFS('Losses &amp; Damages'!$E:$E,'Losses &amp; Damages'!$C:$C,$A86,'Losses &amp; Damages'!$D:$D,$C86),0)</f>
        <v>0</v>
      </c>
      <c r="H86">
        <f t="shared" si="1"/>
        <v>0</v>
      </c>
    </row>
    <row r="87" spans="1:8" x14ac:dyDescent="0.25">
      <c r="A87" s="1"/>
      <c r="B87" s="1"/>
      <c r="C87" s="1"/>
      <c r="D87" s="1"/>
      <c r="E87">
        <f>IFERROR(SUMIFS('Stock Received'!$F:$F,'Stock Received'!$D:$D,$A87,'Stock Received'!$E:$E,$C87),0)</f>
        <v>0</v>
      </c>
      <c r="F87">
        <f>IFERROR(SUMIFS('Arrangement Tracker'!$F:$F,'Arrangement Tracker'!$D:$D,$A87,'Arrangement Tracker'!$E:$E,$C87),0)</f>
        <v>0</v>
      </c>
      <c r="G87">
        <f>IFERROR(SUMIFS('Losses &amp; Damages'!$E:$E,'Losses &amp; Damages'!$C:$C,$A87,'Losses &amp; Damages'!$D:$D,$C87),0)</f>
        <v>0</v>
      </c>
      <c r="H87">
        <f t="shared" si="1"/>
        <v>0</v>
      </c>
    </row>
    <row r="88" spans="1:8" x14ac:dyDescent="0.25">
      <c r="A88" s="1"/>
      <c r="B88" s="1"/>
      <c r="C88" s="1"/>
      <c r="D88" s="1"/>
      <c r="E88">
        <f>IFERROR(SUMIFS('Stock Received'!$F:$F,'Stock Received'!$D:$D,$A88,'Stock Received'!$E:$E,$C88),0)</f>
        <v>0</v>
      </c>
      <c r="F88">
        <f>IFERROR(SUMIFS('Arrangement Tracker'!$F:$F,'Arrangement Tracker'!$D:$D,$A88,'Arrangement Tracker'!$E:$E,$C88),0)</f>
        <v>0</v>
      </c>
      <c r="G88">
        <f>IFERROR(SUMIFS('Losses &amp; Damages'!$E:$E,'Losses &amp; Damages'!$C:$C,$A88,'Losses &amp; Damages'!$D:$D,$C88),0)</f>
        <v>0</v>
      </c>
      <c r="H88">
        <f t="shared" si="1"/>
        <v>0</v>
      </c>
    </row>
    <row r="89" spans="1:8" x14ac:dyDescent="0.25">
      <c r="A89" s="1"/>
      <c r="B89" s="1"/>
      <c r="C89" s="1"/>
      <c r="D89" s="1"/>
      <c r="E89">
        <f>IFERROR(SUMIFS('Stock Received'!$F:$F,'Stock Received'!$D:$D,$A89,'Stock Received'!$E:$E,$C89),0)</f>
        <v>0</v>
      </c>
      <c r="F89">
        <f>IFERROR(SUMIFS('Arrangement Tracker'!$F:$F,'Arrangement Tracker'!$D:$D,$A89,'Arrangement Tracker'!$E:$E,$C89),0)</f>
        <v>0</v>
      </c>
      <c r="G89">
        <f>IFERROR(SUMIFS('Losses &amp; Damages'!$E:$E,'Losses &amp; Damages'!$C:$C,$A89,'Losses &amp; Damages'!$D:$D,$C89),0)</f>
        <v>0</v>
      </c>
      <c r="H89">
        <f t="shared" si="1"/>
        <v>0</v>
      </c>
    </row>
    <row r="90" spans="1:8" x14ac:dyDescent="0.25">
      <c r="A90" s="1"/>
      <c r="B90" s="1"/>
      <c r="C90" s="1"/>
      <c r="D90" s="1"/>
      <c r="E90">
        <f>IFERROR(SUMIFS('Stock Received'!$F:$F,'Stock Received'!$D:$D,$A90,'Stock Received'!$E:$E,$C90),0)</f>
        <v>0</v>
      </c>
      <c r="F90">
        <f>IFERROR(SUMIFS('Arrangement Tracker'!$F:$F,'Arrangement Tracker'!$D:$D,$A90,'Arrangement Tracker'!$E:$E,$C90),0)</f>
        <v>0</v>
      </c>
      <c r="G90">
        <f>IFERROR(SUMIFS('Losses &amp; Damages'!$E:$E,'Losses &amp; Damages'!$C:$C,$A90,'Losses &amp; Damages'!$D:$D,$C90),0)</f>
        <v>0</v>
      </c>
      <c r="H90">
        <f t="shared" si="1"/>
        <v>0</v>
      </c>
    </row>
    <row r="91" spans="1:8" x14ac:dyDescent="0.25">
      <c r="A91" s="1"/>
      <c r="B91" s="1"/>
      <c r="C91" s="1"/>
      <c r="D91" s="1"/>
      <c r="E91">
        <f>IFERROR(SUMIFS('Stock Received'!$F:$F,'Stock Received'!$D:$D,$A91,'Stock Received'!$E:$E,$C91),0)</f>
        <v>0</v>
      </c>
      <c r="F91">
        <f>IFERROR(SUMIFS('Arrangement Tracker'!$F:$F,'Arrangement Tracker'!$D:$D,$A91,'Arrangement Tracker'!$E:$E,$C91),0)</f>
        <v>0</v>
      </c>
      <c r="G91">
        <f>IFERROR(SUMIFS('Losses &amp; Damages'!$E:$E,'Losses &amp; Damages'!$C:$C,$A91,'Losses &amp; Damages'!$D:$D,$C91),0)</f>
        <v>0</v>
      </c>
      <c r="H91">
        <f t="shared" si="1"/>
        <v>0</v>
      </c>
    </row>
    <row r="92" spans="1:8" x14ac:dyDescent="0.25">
      <c r="A92" s="1"/>
      <c r="B92" s="1"/>
      <c r="C92" s="1"/>
      <c r="D92" s="1"/>
      <c r="E92">
        <f>IFERROR(SUMIFS('Stock Received'!$F:$F,'Stock Received'!$D:$D,$A92,'Stock Received'!$E:$E,$C92),0)</f>
        <v>0</v>
      </c>
      <c r="F92">
        <f>IFERROR(SUMIFS('Arrangement Tracker'!$F:$F,'Arrangement Tracker'!$D:$D,$A92,'Arrangement Tracker'!$E:$E,$C92),0)</f>
        <v>0</v>
      </c>
      <c r="G92">
        <f>IFERROR(SUMIFS('Losses &amp; Damages'!$E:$E,'Losses &amp; Damages'!$C:$C,$A92,'Losses &amp; Damages'!$D:$D,$C92),0)</f>
        <v>0</v>
      </c>
      <c r="H92">
        <f t="shared" si="1"/>
        <v>0</v>
      </c>
    </row>
    <row r="93" spans="1:8" x14ac:dyDescent="0.25">
      <c r="A93" s="1"/>
      <c r="B93" s="1"/>
      <c r="C93" s="1"/>
      <c r="D93" s="1"/>
      <c r="E93">
        <f>IFERROR(SUMIFS('Stock Received'!$F:$F,'Stock Received'!$D:$D,$A93,'Stock Received'!$E:$E,$C93),0)</f>
        <v>0</v>
      </c>
      <c r="F93">
        <f>IFERROR(SUMIFS('Arrangement Tracker'!$F:$F,'Arrangement Tracker'!$D:$D,$A93,'Arrangement Tracker'!$E:$E,$C93),0)</f>
        <v>0</v>
      </c>
      <c r="G93">
        <f>IFERROR(SUMIFS('Losses &amp; Damages'!$E:$E,'Losses &amp; Damages'!$C:$C,$A93,'Losses &amp; Damages'!$D:$D,$C93),0)</f>
        <v>0</v>
      </c>
      <c r="H93">
        <f t="shared" si="1"/>
        <v>0</v>
      </c>
    </row>
    <row r="94" spans="1:8" x14ac:dyDescent="0.25">
      <c r="A94" s="1"/>
      <c r="B94" s="1"/>
      <c r="C94" s="1"/>
      <c r="D94" s="1"/>
      <c r="E94">
        <f>IFERROR(SUMIFS('Stock Received'!$F:$F,'Stock Received'!$D:$D,$A94,'Stock Received'!$E:$E,$C94),0)</f>
        <v>0</v>
      </c>
      <c r="F94">
        <f>IFERROR(SUMIFS('Arrangement Tracker'!$F:$F,'Arrangement Tracker'!$D:$D,$A94,'Arrangement Tracker'!$E:$E,$C94),0)</f>
        <v>0</v>
      </c>
      <c r="G94">
        <f>IFERROR(SUMIFS('Losses &amp; Damages'!$E:$E,'Losses &amp; Damages'!$C:$C,$A94,'Losses &amp; Damages'!$D:$D,$C94),0)</f>
        <v>0</v>
      </c>
      <c r="H94">
        <f t="shared" si="1"/>
        <v>0</v>
      </c>
    </row>
    <row r="95" spans="1:8" x14ac:dyDescent="0.25">
      <c r="A95" s="1"/>
      <c r="B95" s="1"/>
      <c r="C95" s="1"/>
      <c r="D95" s="1"/>
      <c r="E95">
        <f>IFERROR(SUMIFS('Stock Received'!$F:$F,'Stock Received'!$D:$D,$A95,'Stock Received'!$E:$E,$C95),0)</f>
        <v>0</v>
      </c>
      <c r="F95">
        <f>IFERROR(SUMIFS('Arrangement Tracker'!$F:$F,'Arrangement Tracker'!$D:$D,$A95,'Arrangement Tracker'!$E:$E,$C95),0)</f>
        <v>0</v>
      </c>
      <c r="G95">
        <f>IFERROR(SUMIFS('Losses &amp; Damages'!$E:$E,'Losses &amp; Damages'!$C:$C,$A95,'Losses &amp; Damages'!$D:$D,$C95),0)</f>
        <v>0</v>
      </c>
      <c r="H95">
        <f t="shared" si="1"/>
        <v>0</v>
      </c>
    </row>
    <row r="96" spans="1:8" x14ac:dyDescent="0.25">
      <c r="A96" s="1"/>
      <c r="B96" s="1"/>
      <c r="C96" s="1"/>
      <c r="D96" s="1"/>
      <c r="E96">
        <f>IFERROR(SUMIFS('Stock Received'!$F:$F,'Stock Received'!$D:$D,$A96,'Stock Received'!$E:$E,$C96),0)</f>
        <v>0</v>
      </c>
      <c r="F96">
        <f>IFERROR(SUMIFS('Arrangement Tracker'!$F:$F,'Arrangement Tracker'!$D:$D,$A96,'Arrangement Tracker'!$E:$E,$C96),0)</f>
        <v>0</v>
      </c>
      <c r="G96">
        <f>IFERROR(SUMIFS('Losses &amp; Damages'!$E:$E,'Losses &amp; Damages'!$C:$C,$A96,'Losses &amp; Damages'!$D:$D,$C96),0)</f>
        <v>0</v>
      </c>
      <c r="H96">
        <f t="shared" si="1"/>
        <v>0</v>
      </c>
    </row>
    <row r="97" spans="1:8" x14ac:dyDescent="0.25">
      <c r="A97" s="1"/>
      <c r="B97" s="1"/>
      <c r="C97" s="1"/>
      <c r="D97" s="1"/>
      <c r="E97">
        <f>IFERROR(SUMIFS('Stock Received'!$F:$F,'Stock Received'!$D:$D,$A97,'Stock Received'!$E:$E,$C97),0)</f>
        <v>0</v>
      </c>
      <c r="F97">
        <f>IFERROR(SUMIFS('Arrangement Tracker'!$F:$F,'Arrangement Tracker'!$D:$D,$A97,'Arrangement Tracker'!$E:$E,$C97),0)</f>
        <v>0</v>
      </c>
      <c r="G97">
        <f>IFERROR(SUMIFS('Losses &amp; Damages'!$E:$E,'Losses &amp; Damages'!$C:$C,$A97,'Losses &amp; Damages'!$D:$D,$C97),0)</f>
        <v>0</v>
      </c>
      <c r="H97">
        <f t="shared" si="1"/>
        <v>0</v>
      </c>
    </row>
    <row r="98" spans="1:8" x14ac:dyDescent="0.25">
      <c r="A98" s="1"/>
      <c r="B98" s="1"/>
      <c r="C98" s="1"/>
      <c r="D98" s="1"/>
      <c r="E98">
        <f>IFERROR(SUMIFS('Stock Received'!$F:$F,'Stock Received'!$D:$D,$A98,'Stock Received'!$E:$E,$C98),0)</f>
        <v>0</v>
      </c>
      <c r="F98">
        <f>IFERROR(SUMIFS('Arrangement Tracker'!$F:$F,'Arrangement Tracker'!$D:$D,$A98,'Arrangement Tracker'!$E:$E,$C98),0)</f>
        <v>0</v>
      </c>
      <c r="G98">
        <f>IFERROR(SUMIFS('Losses &amp; Damages'!$E:$E,'Losses &amp; Damages'!$C:$C,$A98,'Losses &amp; Damages'!$D:$D,$C98),0)</f>
        <v>0</v>
      </c>
      <c r="H98">
        <f t="shared" si="1"/>
        <v>0</v>
      </c>
    </row>
    <row r="99" spans="1:8" x14ac:dyDescent="0.25">
      <c r="A99" s="1"/>
      <c r="B99" s="1"/>
      <c r="C99" s="1"/>
      <c r="D99" s="1"/>
      <c r="E99">
        <f>IFERROR(SUMIFS('Stock Received'!$F:$F,'Stock Received'!$D:$D,$A99,'Stock Received'!$E:$E,$C99),0)</f>
        <v>0</v>
      </c>
      <c r="F99">
        <f>IFERROR(SUMIFS('Arrangement Tracker'!$F:$F,'Arrangement Tracker'!$D:$D,$A99,'Arrangement Tracker'!$E:$E,$C99),0)</f>
        <v>0</v>
      </c>
      <c r="G99">
        <f>IFERROR(SUMIFS('Losses &amp; Damages'!$E:$E,'Losses &amp; Damages'!$C:$C,$A99,'Losses &amp; Damages'!$D:$D,$C99),0)</f>
        <v>0</v>
      </c>
      <c r="H99">
        <f t="shared" si="1"/>
        <v>0</v>
      </c>
    </row>
    <row r="100" spans="1:8" x14ac:dyDescent="0.25">
      <c r="A100" s="1"/>
      <c r="B100" s="1"/>
      <c r="C100" s="1"/>
      <c r="D100" s="1"/>
      <c r="E100">
        <f>IFERROR(SUMIFS('Stock Received'!$F:$F,'Stock Received'!$D:$D,$A100,'Stock Received'!$E:$E,$C100),0)</f>
        <v>0</v>
      </c>
      <c r="F100">
        <f>IFERROR(SUMIFS('Arrangement Tracker'!$F:$F,'Arrangement Tracker'!$D:$D,$A100,'Arrangement Tracker'!$E:$E,$C100),0)</f>
        <v>0</v>
      </c>
      <c r="G100">
        <f>IFERROR(SUMIFS('Losses &amp; Damages'!$E:$E,'Losses &amp; Damages'!$C:$C,$A100,'Losses &amp; Damages'!$D:$D,$C100),0)</f>
        <v>0</v>
      </c>
      <c r="H100">
        <f t="shared" si="1"/>
        <v>0</v>
      </c>
    </row>
    <row r="101" spans="1:8" x14ac:dyDescent="0.25">
      <c r="A101" s="1"/>
      <c r="B101" s="1"/>
      <c r="C101" s="1"/>
      <c r="D101" s="1"/>
      <c r="E101">
        <f>IFERROR(SUMIFS('Stock Received'!$F:$F,'Stock Received'!$D:$D,$A101,'Stock Received'!$E:$E,$C101),0)</f>
        <v>0</v>
      </c>
      <c r="F101">
        <f>IFERROR(SUMIFS('Arrangement Tracker'!$F:$F,'Arrangement Tracker'!$D:$D,$A101,'Arrangement Tracker'!$E:$E,$C101),0)</f>
        <v>0</v>
      </c>
      <c r="G101">
        <f>IFERROR(SUMIFS('Losses &amp; Damages'!$E:$E,'Losses &amp; Damages'!$C:$C,$A101,'Losses &amp; Damages'!$D:$D,$C101),0)</f>
        <v>0</v>
      </c>
      <c r="H101">
        <f t="shared" si="1"/>
        <v>0</v>
      </c>
    </row>
    <row r="102" spans="1:8" x14ac:dyDescent="0.25">
      <c r="A102" s="1"/>
      <c r="B102" s="1"/>
      <c r="C102" s="1"/>
      <c r="D102" s="1"/>
      <c r="E102">
        <f>IFERROR(SUMIFS('Stock Received'!$F:$F,'Stock Received'!$D:$D,$A102,'Stock Received'!$E:$E,$C102),0)</f>
        <v>0</v>
      </c>
      <c r="F102">
        <f>IFERROR(SUMIFS('Arrangement Tracker'!$F:$F,'Arrangement Tracker'!$D:$D,$A102,'Arrangement Tracker'!$E:$E,$C102),0)</f>
        <v>0</v>
      </c>
      <c r="G102">
        <f>IFERROR(SUMIFS('Losses &amp; Damages'!$E:$E,'Losses &amp; Damages'!$C:$C,$A102,'Losses &amp; Damages'!$D:$D,$C102),0)</f>
        <v>0</v>
      </c>
      <c r="H102">
        <f t="shared" si="1"/>
        <v>0</v>
      </c>
    </row>
    <row r="103" spans="1:8" x14ac:dyDescent="0.25">
      <c r="A103" s="1"/>
      <c r="B103" s="1"/>
      <c r="C103" s="1"/>
      <c r="D103" s="1"/>
      <c r="E103">
        <f>IFERROR(SUMIFS('Stock Received'!$F:$F,'Stock Received'!$D:$D,$A103,'Stock Received'!$E:$E,$C103),0)</f>
        <v>0</v>
      </c>
      <c r="F103">
        <f>IFERROR(SUMIFS('Arrangement Tracker'!$F:$F,'Arrangement Tracker'!$D:$D,$A103,'Arrangement Tracker'!$E:$E,$C103),0)</f>
        <v>0</v>
      </c>
      <c r="G103">
        <f>IFERROR(SUMIFS('Losses &amp; Damages'!$E:$E,'Losses &amp; Damages'!$C:$C,$A103,'Losses &amp; Damages'!$D:$D,$C103),0)</f>
        <v>0</v>
      </c>
      <c r="H103">
        <f t="shared" si="1"/>
        <v>0</v>
      </c>
    </row>
    <row r="104" spans="1:8" x14ac:dyDescent="0.25">
      <c r="A104" s="1"/>
      <c r="B104" s="1"/>
      <c r="C104" s="1"/>
      <c r="D104" s="1"/>
      <c r="E104">
        <f>IFERROR(SUMIFS('Stock Received'!$F:$F,'Stock Received'!$D:$D,$A104,'Stock Received'!$E:$E,$C104),0)</f>
        <v>0</v>
      </c>
      <c r="F104">
        <f>IFERROR(SUMIFS('Arrangement Tracker'!$F:$F,'Arrangement Tracker'!$D:$D,$A104,'Arrangement Tracker'!$E:$E,$C104),0)</f>
        <v>0</v>
      </c>
      <c r="G104">
        <f>IFERROR(SUMIFS('Losses &amp; Damages'!$E:$E,'Losses &amp; Damages'!$C:$C,$A104,'Losses &amp; Damages'!$D:$D,$C104),0)</f>
        <v>0</v>
      </c>
      <c r="H104">
        <f t="shared" si="1"/>
        <v>0</v>
      </c>
    </row>
    <row r="105" spans="1:8" x14ac:dyDescent="0.25">
      <c r="A105" s="1"/>
      <c r="B105" s="1"/>
      <c r="C105" s="1"/>
      <c r="D105" s="1"/>
      <c r="E105">
        <f>IFERROR(SUMIFS('Stock Received'!$F:$F,'Stock Received'!$D:$D,$A105,'Stock Received'!$E:$E,$C105),0)</f>
        <v>0</v>
      </c>
      <c r="F105">
        <f>IFERROR(SUMIFS('Arrangement Tracker'!$F:$F,'Arrangement Tracker'!$D:$D,$A105,'Arrangement Tracker'!$E:$E,$C105),0)</f>
        <v>0</v>
      </c>
      <c r="G105">
        <f>IFERROR(SUMIFS('Losses &amp; Damages'!$E:$E,'Losses &amp; Damages'!$C:$C,$A105,'Losses &amp; Damages'!$D:$D,$C105),0)</f>
        <v>0</v>
      </c>
      <c r="H105">
        <f t="shared" si="1"/>
        <v>0</v>
      </c>
    </row>
    <row r="106" spans="1:8" x14ac:dyDescent="0.25">
      <c r="A106" s="1"/>
      <c r="B106" s="1"/>
      <c r="C106" s="1"/>
      <c r="D106" s="1"/>
      <c r="E106">
        <f>IFERROR(SUMIFS('Stock Received'!$F:$F,'Stock Received'!$D:$D,$A106,'Stock Received'!$E:$E,$C106),0)</f>
        <v>0</v>
      </c>
      <c r="F106">
        <f>IFERROR(SUMIFS('Arrangement Tracker'!$F:$F,'Arrangement Tracker'!$D:$D,$A106,'Arrangement Tracker'!$E:$E,$C106),0)</f>
        <v>0</v>
      </c>
      <c r="G106">
        <f>IFERROR(SUMIFS('Losses &amp; Damages'!$E:$E,'Losses &amp; Damages'!$C:$C,$A106,'Losses &amp; Damages'!$D:$D,$C106),0)</f>
        <v>0</v>
      </c>
      <c r="H106">
        <f t="shared" si="1"/>
        <v>0</v>
      </c>
    </row>
    <row r="107" spans="1:8" x14ac:dyDescent="0.25">
      <c r="A107" s="1"/>
      <c r="B107" s="1"/>
      <c r="C107" s="1"/>
      <c r="D107" s="1"/>
      <c r="E107">
        <f>IFERROR(SUMIFS('Stock Received'!$F:$F,'Stock Received'!$D:$D,$A107,'Stock Received'!$E:$E,$C107),0)</f>
        <v>0</v>
      </c>
      <c r="F107">
        <f>IFERROR(SUMIFS('Arrangement Tracker'!$F:$F,'Arrangement Tracker'!$D:$D,$A107,'Arrangement Tracker'!$E:$E,$C107),0)</f>
        <v>0</v>
      </c>
      <c r="G107">
        <f>IFERROR(SUMIFS('Losses &amp; Damages'!$E:$E,'Losses &amp; Damages'!$C:$C,$A107,'Losses &amp; Damages'!$D:$D,$C107),0)</f>
        <v>0</v>
      </c>
      <c r="H107">
        <f t="shared" si="1"/>
        <v>0</v>
      </c>
    </row>
    <row r="108" spans="1:8" x14ac:dyDescent="0.25">
      <c r="A108" s="1"/>
      <c r="B108" s="1"/>
      <c r="C108" s="1"/>
      <c r="D108" s="1"/>
      <c r="E108">
        <f>IFERROR(SUMIFS('Stock Received'!$F:$F,'Stock Received'!$D:$D,$A108,'Stock Received'!$E:$E,$C108),0)</f>
        <v>0</v>
      </c>
      <c r="F108">
        <f>IFERROR(SUMIFS('Arrangement Tracker'!$F:$F,'Arrangement Tracker'!$D:$D,$A108,'Arrangement Tracker'!$E:$E,$C108),0)</f>
        <v>0</v>
      </c>
      <c r="G108">
        <f>IFERROR(SUMIFS('Losses &amp; Damages'!$E:$E,'Losses &amp; Damages'!$C:$C,$A108,'Losses &amp; Damages'!$D:$D,$C108),0)</f>
        <v>0</v>
      </c>
      <c r="H108">
        <f t="shared" si="1"/>
        <v>0</v>
      </c>
    </row>
    <row r="109" spans="1:8" x14ac:dyDescent="0.25">
      <c r="A109" s="1"/>
      <c r="B109" s="1"/>
      <c r="C109" s="1"/>
      <c r="D109" s="1"/>
      <c r="E109">
        <f>IFERROR(SUMIFS('Stock Received'!$F:$F,'Stock Received'!$D:$D,$A109,'Stock Received'!$E:$E,$C109),0)</f>
        <v>0</v>
      </c>
      <c r="F109">
        <f>IFERROR(SUMIFS('Arrangement Tracker'!$F:$F,'Arrangement Tracker'!$D:$D,$A109,'Arrangement Tracker'!$E:$E,$C109),0)</f>
        <v>0</v>
      </c>
      <c r="G109">
        <f>IFERROR(SUMIFS('Losses &amp; Damages'!$E:$E,'Losses &amp; Damages'!$C:$C,$A109,'Losses &amp; Damages'!$D:$D,$C109),0)</f>
        <v>0</v>
      </c>
      <c r="H109">
        <f t="shared" si="1"/>
        <v>0</v>
      </c>
    </row>
    <row r="110" spans="1:8" x14ac:dyDescent="0.25">
      <c r="A110" s="1"/>
      <c r="B110" s="1"/>
      <c r="C110" s="1"/>
      <c r="D110" s="1"/>
      <c r="E110">
        <f>IFERROR(SUMIFS('Stock Received'!$F:$F,'Stock Received'!$D:$D,$A110,'Stock Received'!$E:$E,$C110),0)</f>
        <v>0</v>
      </c>
      <c r="F110">
        <f>IFERROR(SUMIFS('Arrangement Tracker'!$F:$F,'Arrangement Tracker'!$D:$D,$A110,'Arrangement Tracker'!$E:$E,$C110),0)</f>
        <v>0</v>
      </c>
      <c r="G110">
        <f>IFERROR(SUMIFS('Losses &amp; Damages'!$E:$E,'Losses &amp; Damages'!$C:$C,$A110,'Losses &amp; Damages'!$D:$D,$C110),0)</f>
        <v>0</v>
      </c>
      <c r="H110">
        <f t="shared" si="1"/>
        <v>0</v>
      </c>
    </row>
    <row r="111" spans="1:8" x14ac:dyDescent="0.25">
      <c r="A111" s="1"/>
      <c r="B111" s="1"/>
      <c r="C111" s="1"/>
      <c r="D111" s="1"/>
      <c r="E111">
        <f>IFERROR(SUMIFS('Stock Received'!$F:$F,'Stock Received'!$D:$D,$A111,'Stock Received'!$E:$E,$C111),0)</f>
        <v>0</v>
      </c>
      <c r="F111">
        <f>IFERROR(SUMIFS('Arrangement Tracker'!$F:$F,'Arrangement Tracker'!$D:$D,$A111,'Arrangement Tracker'!$E:$E,$C111),0)</f>
        <v>0</v>
      </c>
      <c r="G111">
        <f>IFERROR(SUMIFS('Losses &amp; Damages'!$E:$E,'Losses &amp; Damages'!$C:$C,$A111,'Losses &amp; Damages'!$D:$D,$C111),0)</f>
        <v>0</v>
      </c>
      <c r="H111">
        <f t="shared" si="1"/>
        <v>0</v>
      </c>
    </row>
    <row r="112" spans="1:8" x14ac:dyDescent="0.25">
      <c r="A112" s="1"/>
      <c r="B112" s="1"/>
      <c r="C112" s="1"/>
      <c r="D112" s="1"/>
      <c r="E112">
        <f>IFERROR(SUMIFS('Stock Received'!$F:$F,'Stock Received'!$D:$D,$A112,'Stock Received'!$E:$E,$C112),0)</f>
        <v>0</v>
      </c>
      <c r="F112">
        <f>IFERROR(SUMIFS('Arrangement Tracker'!$F:$F,'Arrangement Tracker'!$D:$D,$A112,'Arrangement Tracker'!$E:$E,$C112),0)</f>
        <v>0</v>
      </c>
      <c r="G112">
        <f>IFERROR(SUMIFS('Losses &amp; Damages'!$E:$E,'Losses &amp; Damages'!$C:$C,$A112,'Losses &amp; Damages'!$D:$D,$C112),0)</f>
        <v>0</v>
      </c>
      <c r="H112">
        <f t="shared" si="1"/>
        <v>0</v>
      </c>
    </row>
    <row r="113" spans="1:8" x14ac:dyDescent="0.25">
      <c r="A113" s="1"/>
      <c r="B113" s="1"/>
      <c r="C113" s="1"/>
      <c r="D113" s="1"/>
      <c r="E113">
        <f>IFERROR(SUMIFS('Stock Received'!$F:$F,'Stock Received'!$D:$D,$A113,'Stock Received'!$E:$E,$C113),0)</f>
        <v>0</v>
      </c>
      <c r="F113">
        <f>IFERROR(SUMIFS('Arrangement Tracker'!$F:$F,'Arrangement Tracker'!$D:$D,$A113,'Arrangement Tracker'!$E:$E,$C113),0)</f>
        <v>0</v>
      </c>
      <c r="G113">
        <f>IFERROR(SUMIFS('Losses &amp; Damages'!$E:$E,'Losses &amp; Damages'!$C:$C,$A113,'Losses &amp; Damages'!$D:$D,$C113),0)</f>
        <v>0</v>
      </c>
      <c r="H113">
        <f t="shared" si="1"/>
        <v>0</v>
      </c>
    </row>
    <row r="114" spans="1:8" x14ac:dyDescent="0.25">
      <c r="A114" s="1"/>
      <c r="B114" s="1"/>
      <c r="C114" s="1"/>
      <c r="D114" s="1"/>
      <c r="E114">
        <f>IFERROR(SUMIFS('Stock Received'!$F:$F,'Stock Received'!$D:$D,$A114,'Stock Received'!$E:$E,$C114),0)</f>
        <v>0</v>
      </c>
      <c r="F114">
        <f>IFERROR(SUMIFS('Arrangement Tracker'!$F:$F,'Arrangement Tracker'!$D:$D,$A114,'Arrangement Tracker'!$E:$E,$C114),0)</f>
        <v>0</v>
      </c>
      <c r="G114">
        <f>IFERROR(SUMIFS('Losses &amp; Damages'!$E:$E,'Losses &amp; Damages'!$C:$C,$A114,'Losses &amp; Damages'!$D:$D,$C114),0)</f>
        <v>0</v>
      </c>
      <c r="H114">
        <f t="shared" si="1"/>
        <v>0</v>
      </c>
    </row>
    <row r="115" spans="1:8" x14ac:dyDescent="0.25">
      <c r="A115" s="1"/>
      <c r="B115" s="1"/>
      <c r="C115" s="1"/>
      <c r="D115" s="1"/>
      <c r="E115">
        <f>IFERROR(SUMIFS('Stock Received'!$F:$F,'Stock Received'!$D:$D,$A115,'Stock Received'!$E:$E,$C115),0)</f>
        <v>0</v>
      </c>
      <c r="F115">
        <f>IFERROR(SUMIFS('Arrangement Tracker'!$F:$F,'Arrangement Tracker'!$D:$D,$A115,'Arrangement Tracker'!$E:$E,$C115),0)</f>
        <v>0</v>
      </c>
      <c r="G115">
        <f>IFERROR(SUMIFS('Losses &amp; Damages'!$E:$E,'Losses &amp; Damages'!$C:$C,$A115,'Losses &amp; Damages'!$D:$D,$C115),0)</f>
        <v>0</v>
      </c>
      <c r="H115">
        <f t="shared" si="1"/>
        <v>0</v>
      </c>
    </row>
    <row r="116" spans="1:8" x14ac:dyDescent="0.25">
      <c r="A116" s="1"/>
      <c r="B116" s="1"/>
      <c r="C116" s="1"/>
      <c r="D116" s="1"/>
      <c r="E116">
        <f>IFERROR(SUMIFS('Stock Received'!$F:$F,'Stock Received'!$D:$D,$A116,'Stock Received'!$E:$E,$C116),0)</f>
        <v>0</v>
      </c>
      <c r="F116">
        <f>IFERROR(SUMIFS('Arrangement Tracker'!$F:$F,'Arrangement Tracker'!$D:$D,$A116,'Arrangement Tracker'!$E:$E,$C116),0)</f>
        <v>0</v>
      </c>
      <c r="G116">
        <f>IFERROR(SUMIFS('Losses &amp; Damages'!$E:$E,'Losses &amp; Damages'!$C:$C,$A116,'Losses &amp; Damages'!$D:$D,$C116),0)</f>
        <v>0</v>
      </c>
      <c r="H116">
        <f t="shared" si="1"/>
        <v>0</v>
      </c>
    </row>
    <row r="117" spans="1:8" x14ac:dyDescent="0.25">
      <c r="A117" s="1"/>
      <c r="B117" s="1"/>
      <c r="C117" s="1"/>
      <c r="D117" s="1"/>
      <c r="E117">
        <f>IFERROR(SUMIFS('Stock Received'!$F:$F,'Stock Received'!$D:$D,$A117,'Stock Received'!$E:$E,$C117),0)</f>
        <v>0</v>
      </c>
      <c r="F117">
        <f>IFERROR(SUMIFS('Arrangement Tracker'!$F:$F,'Arrangement Tracker'!$D:$D,$A117,'Arrangement Tracker'!$E:$E,$C117),0)</f>
        <v>0</v>
      </c>
      <c r="G117">
        <f>IFERROR(SUMIFS('Losses &amp; Damages'!$E:$E,'Losses &amp; Damages'!$C:$C,$A117,'Losses &amp; Damages'!$D:$D,$C117),0)</f>
        <v>0</v>
      </c>
      <c r="H117">
        <f t="shared" si="1"/>
        <v>0</v>
      </c>
    </row>
    <row r="118" spans="1:8" x14ac:dyDescent="0.25">
      <c r="A118" s="1"/>
      <c r="B118" s="1"/>
      <c r="C118" s="1"/>
      <c r="D118" s="1"/>
      <c r="E118">
        <f>IFERROR(SUMIFS('Stock Received'!$F:$F,'Stock Received'!$D:$D,$A118,'Stock Received'!$E:$E,$C118),0)</f>
        <v>0</v>
      </c>
      <c r="F118">
        <f>IFERROR(SUMIFS('Arrangement Tracker'!$F:$F,'Arrangement Tracker'!$D:$D,$A118,'Arrangement Tracker'!$E:$E,$C118),0)</f>
        <v>0</v>
      </c>
      <c r="G118">
        <f>IFERROR(SUMIFS('Losses &amp; Damages'!$E:$E,'Losses &amp; Damages'!$C:$C,$A118,'Losses &amp; Damages'!$D:$D,$C118),0)</f>
        <v>0</v>
      </c>
      <c r="H118">
        <f t="shared" si="1"/>
        <v>0</v>
      </c>
    </row>
    <row r="119" spans="1:8" x14ac:dyDescent="0.25">
      <c r="A119" s="1"/>
      <c r="B119" s="1"/>
      <c r="C119" s="1"/>
      <c r="D119" s="1"/>
      <c r="E119">
        <f>IFERROR(SUMIFS('Stock Received'!$F:$F,'Stock Received'!$D:$D,$A119,'Stock Received'!$E:$E,$C119),0)</f>
        <v>0</v>
      </c>
      <c r="F119">
        <f>IFERROR(SUMIFS('Arrangement Tracker'!$F:$F,'Arrangement Tracker'!$D:$D,$A119,'Arrangement Tracker'!$E:$E,$C119),0)</f>
        <v>0</v>
      </c>
      <c r="G119">
        <f>IFERROR(SUMIFS('Losses &amp; Damages'!$E:$E,'Losses &amp; Damages'!$C:$C,$A119,'Losses &amp; Damages'!$D:$D,$C119),0)</f>
        <v>0</v>
      </c>
      <c r="H119">
        <f t="shared" si="1"/>
        <v>0</v>
      </c>
    </row>
    <row r="120" spans="1:8" x14ac:dyDescent="0.25">
      <c r="A120" s="1"/>
      <c r="B120" s="1"/>
      <c r="C120" s="1"/>
      <c r="D120" s="1"/>
      <c r="E120">
        <f>IFERROR(SUMIFS('Stock Received'!$F:$F,'Stock Received'!$D:$D,$A120,'Stock Received'!$E:$E,$C120),0)</f>
        <v>0</v>
      </c>
      <c r="F120">
        <f>IFERROR(SUMIFS('Arrangement Tracker'!$F:$F,'Arrangement Tracker'!$D:$D,$A120,'Arrangement Tracker'!$E:$E,$C120),0)</f>
        <v>0</v>
      </c>
      <c r="G120">
        <f>IFERROR(SUMIFS('Losses &amp; Damages'!$E:$E,'Losses &amp; Damages'!$C:$C,$A120,'Losses &amp; Damages'!$D:$D,$C120),0)</f>
        <v>0</v>
      </c>
      <c r="H120">
        <f t="shared" si="1"/>
        <v>0</v>
      </c>
    </row>
    <row r="121" spans="1:8" x14ac:dyDescent="0.25">
      <c r="A121" s="1"/>
      <c r="B121" s="1"/>
      <c r="C121" s="1"/>
      <c r="D121" s="1"/>
      <c r="E121">
        <f>IFERROR(SUMIFS('Stock Received'!$F:$F,'Stock Received'!$D:$D,$A121,'Stock Received'!$E:$E,$C121),0)</f>
        <v>0</v>
      </c>
      <c r="F121">
        <f>IFERROR(SUMIFS('Arrangement Tracker'!$F:$F,'Arrangement Tracker'!$D:$D,$A121,'Arrangement Tracker'!$E:$E,$C121),0)</f>
        <v>0</v>
      </c>
      <c r="G121">
        <f>IFERROR(SUMIFS('Losses &amp; Damages'!$E:$E,'Losses &amp; Damages'!$C:$C,$A121,'Losses &amp; Damages'!$D:$D,$C121),0)</f>
        <v>0</v>
      </c>
      <c r="H121">
        <f t="shared" si="1"/>
        <v>0</v>
      </c>
    </row>
    <row r="122" spans="1:8" x14ac:dyDescent="0.25">
      <c r="A122" s="1"/>
      <c r="B122" s="1"/>
      <c r="C122" s="1"/>
      <c r="D122" s="1"/>
      <c r="E122">
        <f>IFERROR(SUMIFS('Stock Received'!$F:$F,'Stock Received'!$D:$D,$A122,'Stock Received'!$E:$E,$C122),0)</f>
        <v>0</v>
      </c>
      <c r="F122">
        <f>IFERROR(SUMIFS('Arrangement Tracker'!$F:$F,'Arrangement Tracker'!$D:$D,$A122,'Arrangement Tracker'!$E:$E,$C122),0)</f>
        <v>0</v>
      </c>
      <c r="G122">
        <f>IFERROR(SUMIFS('Losses &amp; Damages'!$E:$E,'Losses &amp; Damages'!$C:$C,$A122,'Losses &amp; Damages'!$D:$D,$C122),0)</f>
        <v>0</v>
      </c>
      <c r="H122">
        <f t="shared" si="1"/>
        <v>0</v>
      </c>
    </row>
    <row r="123" spans="1:8" x14ac:dyDescent="0.25">
      <c r="A123" s="1"/>
      <c r="B123" s="1"/>
      <c r="C123" s="1"/>
      <c r="D123" s="1"/>
      <c r="E123">
        <f>IFERROR(SUMIFS('Stock Received'!$F:$F,'Stock Received'!$D:$D,$A123,'Stock Received'!$E:$E,$C123),0)</f>
        <v>0</v>
      </c>
      <c r="F123">
        <f>IFERROR(SUMIFS('Arrangement Tracker'!$F:$F,'Arrangement Tracker'!$D:$D,$A123,'Arrangement Tracker'!$E:$E,$C123),0)</f>
        <v>0</v>
      </c>
      <c r="G123">
        <f>IFERROR(SUMIFS('Losses &amp; Damages'!$E:$E,'Losses &amp; Damages'!$C:$C,$A123,'Losses &amp; Damages'!$D:$D,$C123),0)</f>
        <v>0</v>
      </c>
      <c r="H123">
        <f t="shared" si="1"/>
        <v>0</v>
      </c>
    </row>
    <row r="124" spans="1:8" x14ac:dyDescent="0.25">
      <c r="A124" s="1"/>
      <c r="B124" s="1"/>
      <c r="C124" s="1"/>
      <c r="D124" s="1"/>
      <c r="E124">
        <f>IFERROR(SUMIFS('Stock Received'!$F:$F,'Stock Received'!$D:$D,$A124,'Stock Received'!$E:$E,$C124),0)</f>
        <v>0</v>
      </c>
      <c r="F124">
        <f>IFERROR(SUMIFS('Arrangement Tracker'!$F:$F,'Arrangement Tracker'!$D:$D,$A124,'Arrangement Tracker'!$E:$E,$C124),0)</f>
        <v>0</v>
      </c>
      <c r="G124">
        <f>IFERROR(SUMIFS('Losses &amp; Damages'!$E:$E,'Losses &amp; Damages'!$C:$C,$A124,'Losses &amp; Damages'!$D:$D,$C124),0)</f>
        <v>0</v>
      </c>
      <c r="H124">
        <f t="shared" si="1"/>
        <v>0</v>
      </c>
    </row>
    <row r="125" spans="1:8" x14ac:dyDescent="0.25">
      <c r="A125" s="1"/>
      <c r="B125" s="1"/>
      <c r="C125" s="1"/>
      <c r="D125" s="1"/>
      <c r="E125">
        <f>IFERROR(SUMIFS('Stock Received'!$F:$F,'Stock Received'!$D:$D,$A125,'Stock Received'!$E:$E,$C125),0)</f>
        <v>0</v>
      </c>
      <c r="F125">
        <f>IFERROR(SUMIFS('Arrangement Tracker'!$F:$F,'Arrangement Tracker'!$D:$D,$A125,'Arrangement Tracker'!$E:$E,$C125),0)</f>
        <v>0</v>
      </c>
      <c r="G125">
        <f>IFERROR(SUMIFS('Losses &amp; Damages'!$E:$E,'Losses &amp; Damages'!$C:$C,$A125,'Losses &amp; Damages'!$D:$D,$C125),0)</f>
        <v>0</v>
      </c>
      <c r="H125">
        <f t="shared" si="1"/>
        <v>0</v>
      </c>
    </row>
    <row r="126" spans="1:8" x14ac:dyDescent="0.25">
      <c r="A126" s="1"/>
      <c r="B126" s="1"/>
      <c r="C126" s="1"/>
      <c r="D126" s="1"/>
      <c r="E126">
        <f>IFERROR(SUMIFS('Stock Received'!$F:$F,'Stock Received'!$D:$D,$A126,'Stock Received'!$E:$E,$C126),0)</f>
        <v>0</v>
      </c>
      <c r="F126">
        <f>IFERROR(SUMIFS('Arrangement Tracker'!$F:$F,'Arrangement Tracker'!$D:$D,$A126,'Arrangement Tracker'!$E:$E,$C126),0)</f>
        <v>0</v>
      </c>
      <c r="G126">
        <f>IFERROR(SUMIFS('Losses &amp; Damages'!$E:$E,'Losses &amp; Damages'!$C:$C,$A126,'Losses &amp; Damages'!$D:$D,$C126),0)</f>
        <v>0</v>
      </c>
      <c r="H126">
        <f t="shared" si="1"/>
        <v>0</v>
      </c>
    </row>
    <row r="127" spans="1:8" x14ac:dyDescent="0.25">
      <c r="A127" s="1"/>
      <c r="B127" s="1"/>
      <c r="C127" s="1"/>
      <c r="D127" s="1"/>
      <c r="E127">
        <f>IFERROR(SUMIFS('Stock Received'!$F:$F,'Stock Received'!$D:$D,$A127,'Stock Received'!$E:$E,$C127),0)</f>
        <v>0</v>
      </c>
      <c r="F127">
        <f>IFERROR(SUMIFS('Arrangement Tracker'!$F:$F,'Arrangement Tracker'!$D:$D,$A127,'Arrangement Tracker'!$E:$E,$C127),0)</f>
        <v>0</v>
      </c>
      <c r="G127">
        <f>IFERROR(SUMIFS('Losses &amp; Damages'!$E:$E,'Losses &amp; Damages'!$C:$C,$A127,'Losses &amp; Damages'!$D:$D,$C127),0)</f>
        <v>0</v>
      </c>
      <c r="H127">
        <f t="shared" si="1"/>
        <v>0</v>
      </c>
    </row>
    <row r="128" spans="1:8" x14ac:dyDescent="0.25">
      <c r="A128" s="1"/>
      <c r="B128" s="1"/>
      <c r="C128" s="1"/>
      <c r="D128" s="1"/>
      <c r="E128">
        <f>IFERROR(SUMIFS('Stock Received'!$F:$F,'Stock Received'!$D:$D,$A128,'Stock Received'!$E:$E,$C128),0)</f>
        <v>0</v>
      </c>
      <c r="F128">
        <f>IFERROR(SUMIFS('Arrangement Tracker'!$F:$F,'Arrangement Tracker'!$D:$D,$A128,'Arrangement Tracker'!$E:$E,$C128),0)</f>
        <v>0</v>
      </c>
      <c r="G128">
        <f>IFERROR(SUMIFS('Losses &amp; Damages'!$E:$E,'Losses &amp; Damages'!$C:$C,$A128,'Losses &amp; Damages'!$D:$D,$C128),0)</f>
        <v>0</v>
      </c>
      <c r="H128">
        <f t="shared" si="1"/>
        <v>0</v>
      </c>
    </row>
    <row r="129" spans="1:8" x14ac:dyDescent="0.25">
      <c r="A129" s="1"/>
      <c r="B129" s="1"/>
      <c r="C129" s="1"/>
      <c r="D129" s="1"/>
      <c r="E129">
        <f>IFERROR(SUMIFS('Stock Received'!$F:$F,'Stock Received'!$D:$D,$A129,'Stock Received'!$E:$E,$C129),0)</f>
        <v>0</v>
      </c>
      <c r="F129">
        <f>IFERROR(SUMIFS('Arrangement Tracker'!$F:$F,'Arrangement Tracker'!$D:$D,$A129,'Arrangement Tracker'!$E:$E,$C129),0)</f>
        <v>0</v>
      </c>
      <c r="G129">
        <f>IFERROR(SUMIFS('Losses &amp; Damages'!$E:$E,'Losses &amp; Damages'!$C:$C,$A129,'Losses &amp; Damages'!$D:$D,$C129),0)</f>
        <v>0</v>
      </c>
      <c r="H129">
        <f t="shared" si="1"/>
        <v>0</v>
      </c>
    </row>
    <row r="130" spans="1:8" x14ac:dyDescent="0.25">
      <c r="A130" s="1"/>
      <c r="B130" s="1"/>
      <c r="C130" s="1"/>
      <c r="D130" s="1"/>
      <c r="E130">
        <f>IFERROR(SUMIFS('Stock Received'!$F:$F,'Stock Received'!$D:$D,$A130,'Stock Received'!$E:$E,$C130),0)</f>
        <v>0</v>
      </c>
      <c r="F130">
        <f>IFERROR(SUMIFS('Arrangement Tracker'!$F:$F,'Arrangement Tracker'!$D:$D,$A130,'Arrangement Tracker'!$E:$E,$C130),0)</f>
        <v>0</v>
      </c>
      <c r="G130">
        <f>IFERROR(SUMIFS('Losses &amp; Damages'!$E:$E,'Losses &amp; Damages'!$C:$C,$A130,'Losses &amp; Damages'!$D:$D,$C130),0)</f>
        <v>0</v>
      </c>
      <c r="H130">
        <f t="shared" ref="H130:H193" si="2">IFERROR(D130+E130-F130-G130,0)</f>
        <v>0</v>
      </c>
    </row>
    <row r="131" spans="1:8" x14ac:dyDescent="0.25">
      <c r="A131" s="1"/>
      <c r="B131" s="1"/>
      <c r="C131" s="1"/>
      <c r="D131" s="1"/>
      <c r="E131">
        <f>IFERROR(SUMIFS('Stock Received'!$F:$F,'Stock Received'!$D:$D,$A131,'Stock Received'!$E:$E,$C131),0)</f>
        <v>0</v>
      </c>
      <c r="F131">
        <f>IFERROR(SUMIFS('Arrangement Tracker'!$F:$F,'Arrangement Tracker'!$D:$D,$A131,'Arrangement Tracker'!$E:$E,$C131),0)</f>
        <v>0</v>
      </c>
      <c r="G131">
        <f>IFERROR(SUMIFS('Losses &amp; Damages'!$E:$E,'Losses &amp; Damages'!$C:$C,$A131,'Losses &amp; Damages'!$D:$D,$C131),0)</f>
        <v>0</v>
      </c>
      <c r="H131">
        <f t="shared" si="2"/>
        <v>0</v>
      </c>
    </row>
    <row r="132" spans="1:8" x14ac:dyDescent="0.25">
      <c r="A132" s="1"/>
      <c r="B132" s="1"/>
      <c r="C132" s="1"/>
      <c r="D132" s="1"/>
      <c r="E132">
        <f>IFERROR(SUMIFS('Stock Received'!$F:$F,'Stock Received'!$D:$D,$A132,'Stock Received'!$E:$E,$C132),0)</f>
        <v>0</v>
      </c>
      <c r="F132">
        <f>IFERROR(SUMIFS('Arrangement Tracker'!$F:$F,'Arrangement Tracker'!$D:$D,$A132,'Arrangement Tracker'!$E:$E,$C132),0)</f>
        <v>0</v>
      </c>
      <c r="G132">
        <f>IFERROR(SUMIFS('Losses &amp; Damages'!$E:$E,'Losses &amp; Damages'!$C:$C,$A132,'Losses &amp; Damages'!$D:$D,$C132),0)</f>
        <v>0</v>
      </c>
      <c r="H132">
        <f t="shared" si="2"/>
        <v>0</v>
      </c>
    </row>
    <row r="133" spans="1:8" x14ac:dyDescent="0.25">
      <c r="A133" s="1"/>
      <c r="B133" s="1"/>
      <c r="C133" s="1"/>
      <c r="D133" s="1"/>
      <c r="E133">
        <f>IFERROR(SUMIFS('Stock Received'!$F:$F,'Stock Received'!$D:$D,$A133,'Stock Received'!$E:$E,$C133),0)</f>
        <v>0</v>
      </c>
      <c r="F133">
        <f>IFERROR(SUMIFS('Arrangement Tracker'!$F:$F,'Arrangement Tracker'!$D:$D,$A133,'Arrangement Tracker'!$E:$E,$C133),0)</f>
        <v>0</v>
      </c>
      <c r="G133">
        <f>IFERROR(SUMIFS('Losses &amp; Damages'!$E:$E,'Losses &amp; Damages'!$C:$C,$A133,'Losses &amp; Damages'!$D:$D,$C133),0)</f>
        <v>0</v>
      </c>
      <c r="H133">
        <f t="shared" si="2"/>
        <v>0</v>
      </c>
    </row>
    <row r="134" spans="1:8" x14ac:dyDescent="0.25">
      <c r="A134" s="1"/>
      <c r="B134" s="1"/>
      <c r="C134" s="1"/>
      <c r="D134" s="1"/>
      <c r="E134">
        <f>IFERROR(SUMIFS('Stock Received'!$F:$F,'Stock Received'!$D:$D,$A134,'Stock Received'!$E:$E,$C134),0)</f>
        <v>0</v>
      </c>
      <c r="F134">
        <f>IFERROR(SUMIFS('Arrangement Tracker'!$F:$F,'Arrangement Tracker'!$D:$D,$A134,'Arrangement Tracker'!$E:$E,$C134),0)</f>
        <v>0</v>
      </c>
      <c r="G134">
        <f>IFERROR(SUMIFS('Losses &amp; Damages'!$E:$E,'Losses &amp; Damages'!$C:$C,$A134,'Losses &amp; Damages'!$D:$D,$C134),0)</f>
        <v>0</v>
      </c>
      <c r="H134">
        <f t="shared" si="2"/>
        <v>0</v>
      </c>
    </row>
    <row r="135" spans="1:8" x14ac:dyDescent="0.25">
      <c r="A135" s="1"/>
      <c r="B135" s="1"/>
      <c r="C135" s="1"/>
      <c r="D135" s="1"/>
      <c r="E135">
        <f>IFERROR(SUMIFS('Stock Received'!$F:$F,'Stock Received'!$D:$D,$A135,'Stock Received'!$E:$E,$C135),0)</f>
        <v>0</v>
      </c>
      <c r="F135">
        <f>IFERROR(SUMIFS('Arrangement Tracker'!$F:$F,'Arrangement Tracker'!$D:$D,$A135,'Arrangement Tracker'!$E:$E,$C135),0)</f>
        <v>0</v>
      </c>
      <c r="G135">
        <f>IFERROR(SUMIFS('Losses &amp; Damages'!$E:$E,'Losses &amp; Damages'!$C:$C,$A135,'Losses &amp; Damages'!$D:$D,$C135),0)</f>
        <v>0</v>
      </c>
      <c r="H135">
        <f t="shared" si="2"/>
        <v>0</v>
      </c>
    </row>
    <row r="136" spans="1:8" x14ac:dyDescent="0.25">
      <c r="A136" s="1"/>
      <c r="B136" s="1"/>
      <c r="C136" s="1"/>
      <c r="D136" s="1"/>
      <c r="E136">
        <f>IFERROR(SUMIFS('Stock Received'!$F:$F,'Stock Received'!$D:$D,$A136,'Stock Received'!$E:$E,$C136),0)</f>
        <v>0</v>
      </c>
      <c r="F136">
        <f>IFERROR(SUMIFS('Arrangement Tracker'!$F:$F,'Arrangement Tracker'!$D:$D,$A136,'Arrangement Tracker'!$E:$E,$C136),0)</f>
        <v>0</v>
      </c>
      <c r="G136">
        <f>IFERROR(SUMIFS('Losses &amp; Damages'!$E:$E,'Losses &amp; Damages'!$C:$C,$A136,'Losses &amp; Damages'!$D:$D,$C136),0)</f>
        <v>0</v>
      </c>
      <c r="H136">
        <f t="shared" si="2"/>
        <v>0</v>
      </c>
    </row>
    <row r="137" spans="1:8" x14ac:dyDescent="0.25">
      <c r="A137" s="1"/>
      <c r="B137" s="1"/>
      <c r="C137" s="1"/>
      <c r="D137" s="1"/>
      <c r="E137">
        <f>IFERROR(SUMIFS('Stock Received'!$F:$F,'Stock Received'!$D:$D,$A137,'Stock Received'!$E:$E,$C137),0)</f>
        <v>0</v>
      </c>
      <c r="F137">
        <f>IFERROR(SUMIFS('Arrangement Tracker'!$F:$F,'Arrangement Tracker'!$D:$D,$A137,'Arrangement Tracker'!$E:$E,$C137),0)</f>
        <v>0</v>
      </c>
      <c r="G137">
        <f>IFERROR(SUMIFS('Losses &amp; Damages'!$E:$E,'Losses &amp; Damages'!$C:$C,$A137,'Losses &amp; Damages'!$D:$D,$C137),0)</f>
        <v>0</v>
      </c>
      <c r="H137">
        <f t="shared" si="2"/>
        <v>0</v>
      </c>
    </row>
    <row r="138" spans="1:8" x14ac:dyDescent="0.25">
      <c r="A138" s="1"/>
      <c r="B138" s="1"/>
      <c r="C138" s="1"/>
      <c r="D138" s="1"/>
      <c r="E138">
        <f>IFERROR(SUMIFS('Stock Received'!$F:$F,'Stock Received'!$D:$D,$A138,'Stock Received'!$E:$E,$C138),0)</f>
        <v>0</v>
      </c>
      <c r="F138">
        <f>IFERROR(SUMIFS('Arrangement Tracker'!$F:$F,'Arrangement Tracker'!$D:$D,$A138,'Arrangement Tracker'!$E:$E,$C138),0)</f>
        <v>0</v>
      </c>
      <c r="G138">
        <f>IFERROR(SUMIFS('Losses &amp; Damages'!$E:$E,'Losses &amp; Damages'!$C:$C,$A138,'Losses &amp; Damages'!$D:$D,$C138),0)</f>
        <v>0</v>
      </c>
      <c r="H138">
        <f t="shared" si="2"/>
        <v>0</v>
      </c>
    </row>
    <row r="139" spans="1:8" x14ac:dyDescent="0.25">
      <c r="A139" s="1"/>
      <c r="B139" s="1"/>
      <c r="C139" s="1"/>
      <c r="D139" s="1"/>
      <c r="E139">
        <f>IFERROR(SUMIFS('Stock Received'!$F:$F,'Stock Received'!$D:$D,$A139,'Stock Received'!$E:$E,$C139),0)</f>
        <v>0</v>
      </c>
      <c r="F139">
        <f>IFERROR(SUMIFS('Arrangement Tracker'!$F:$F,'Arrangement Tracker'!$D:$D,$A139,'Arrangement Tracker'!$E:$E,$C139),0)</f>
        <v>0</v>
      </c>
      <c r="G139">
        <f>IFERROR(SUMIFS('Losses &amp; Damages'!$E:$E,'Losses &amp; Damages'!$C:$C,$A139,'Losses &amp; Damages'!$D:$D,$C139),0)</f>
        <v>0</v>
      </c>
      <c r="H139">
        <f t="shared" si="2"/>
        <v>0</v>
      </c>
    </row>
    <row r="140" spans="1:8" x14ac:dyDescent="0.25">
      <c r="A140" s="1"/>
      <c r="B140" s="1"/>
      <c r="C140" s="1"/>
      <c r="D140" s="1"/>
      <c r="E140">
        <f>IFERROR(SUMIFS('Stock Received'!$F:$F,'Stock Received'!$D:$D,$A140,'Stock Received'!$E:$E,$C140),0)</f>
        <v>0</v>
      </c>
      <c r="F140">
        <f>IFERROR(SUMIFS('Arrangement Tracker'!$F:$F,'Arrangement Tracker'!$D:$D,$A140,'Arrangement Tracker'!$E:$E,$C140),0)</f>
        <v>0</v>
      </c>
      <c r="G140">
        <f>IFERROR(SUMIFS('Losses &amp; Damages'!$E:$E,'Losses &amp; Damages'!$C:$C,$A140,'Losses &amp; Damages'!$D:$D,$C140),0)</f>
        <v>0</v>
      </c>
      <c r="H140">
        <f t="shared" si="2"/>
        <v>0</v>
      </c>
    </row>
    <row r="141" spans="1:8" x14ac:dyDescent="0.25">
      <c r="A141" s="1"/>
      <c r="B141" s="1"/>
      <c r="C141" s="1"/>
      <c r="D141" s="1"/>
      <c r="E141">
        <f>IFERROR(SUMIFS('Stock Received'!$F:$F,'Stock Received'!$D:$D,$A141,'Stock Received'!$E:$E,$C141),0)</f>
        <v>0</v>
      </c>
      <c r="F141">
        <f>IFERROR(SUMIFS('Arrangement Tracker'!$F:$F,'Arrangement Tracker'!$D:$D,$A141,'Arrangement Tracker'!$E:$E,$C141),0)</f>
        <v>0</v>
      </c>
      <c r="G141">
        <f>IFERROR(SUMIFS('Losses &amp; Damages'!$E:$E,'Losses &amp; Damages'!$C:$C,$A141,'Losses &amp; Damages'!$D:$D,$C141),0)</f>
        <v>0</v>
      </c>
      <c r="H141">
        <f t="shared" si="2"/>
        <v>0</v>
      </c>
    </row>
    <row r="142" spans="1:8" x14ac:dyDescent="0.25">
      <c r="A142" s="1"/>
      <c r="B142" s="1"/>
      <c r="C142" s="1"/>
      <c r="D142" s="1"/>
      <c r="E142">
        <f>IFERROR(SUMIFS('Stock Received'!$F:$F,'Stock Received'!$D:$D,$A142,'Stock Received'!$E:$E,$C142),0)</f>
        <v>0</v>
      </c>
      <c r="F142">
        <f>IFERROR(SUMIFS('Arrangement Tracker'!$F:$F,'Arrangement Tracker'!$D:$D,$A142,'Arrangement Tracker'!$E:$E,$C142),0)</f>
        <v>0</v>
      </c>
      <c r="G142">
        <f>IFERROR(SUMIFS('Losses &amp; Damages'!$E:$E,'Losses &amp; Damages'!$C:$C,$A142,'Losses &amp; Damages'!$D:$D,$C142),0)</f>
        <v>0</v>
      </c>
      <c r="H142">
        <f t="shared" si="2"/>
        <v>0</v>
      </c>
    </row>
    <row r="143" spans="1:8" x14ac:dyDescent="0.25">
      <c r="A143" s="1"/>
      <c r="B143" s="1"/>
      <c r="C143" s="1"/>
      <c r="D143" s="1"/>
      <c r="E143">
        <f>IFERROR(SUMIFS('Stock Received'!$F:$F,'Stock Received'!$D:$D,$A143,'Stock Received'!$E:$E,$C143),0)</f>
        <v>0</v>
      </c>
      <c r="F143">
        <f>IFERROR(SUMIFS('Arrangement Tracker'!$F:$F,'Arrangement Tracker'!$D:$D,$A143,'Arrangement Tracker'!$E:$E,$C143),0)</f>
        <v>0</v>
      </c>
      <c r="G143">
        <f>IFERROR(SUMIFS('Losses &amp; Damages'!$E:$E,'Losses &amp; Damages'!$C:$C,$A143,'Losses &amp; Damages'!$D:$D,$C143),0)</f>
        <v>0</v>
      </c>
      <c r="H143">
        <f t="shared" si="2"/>
        <v>0</v>
      </c>
    </row>
    <row r="144" spans="1:8" x14ac:dyDescent="0.25">
      <c r="A144" s="1"/>
      <c r="B144" s="1"/>
      <c r="C144" s="1"/>
      <c r="D144" s="1"/>
      <c r="E144">
        <f>IFERROR(SUMIFS('Stock Received'!$F:$F,'Stock Received'!$D:$D,$A144,'Stock Received'!$E:$E,$C144),0)</f>
        <v>0</v>
      </c>
      <c r="F144">
        <f>IFERROR(SUMIFS('Arrangement Tracker'!$F:$F,'Arrangement Tracker'!$D:$D,$A144,'Arrangement Tracker'!$E:$E,$C144),0)</f>
        <v>0</v>
      </c>
      <c r="G144">
        <f>IFERROR(SUMIFS('Losses &amp; Damages'!$E:$E,'Losses &amp; Damages'!$C:$C,$A144,'Losses &amp; Damages'!$D:$D,$C144),0)</f>
        <v>0</v>
      </c>
      <c r="H144">
        <f t="shared" si="2"/>
        <v>0</v>
      </c>
    </row>
    <row r="145" spans="1:8" x14ac:dyDescent="0.25">
      <c r="A145" s="1"/>
      <c r="B145" s="1"/>
      <c r="C145" s="1"/>
      <c r="D145" s="1"/>
      <c r="E145">
        <f>IFERROR(SUMIFS('Stock Received'!$F:$F,'Stock Received'!$D:$D,$A145,'Stock Received'!$E:$E,$C145),0)</f>
        <v>0</v>
      </c>
      <c r="F145">
        <f>IFERROR(SUMIFS('Arrangement Tracker'!$F:$F,'Arrangement Tracker'!$D:$D,$A145,'Arrangement Tracker'!$E:$E,$C145),0)</f>
        <v>0</v>
      </c>
      <c r="G145">
        <f>IFERROR(SUMIFS('Losses &amp; Damages'!$E:$E,'Losses &amp; Damages'!$C:$C,$A145,'Losses &amp; Damages'!$D:$D,$C145),0)</f>
        <v>0</v>
      </c>
      <c r="H145">
        <f t="shared" si="2"/>
        <v>0</v>
      </c>
    </row>
    <row r="146" spans="1:8" x14ac:dyDescent="0.25">
      <c r="A146" s="1"/>
      <c r="B146" s="1"/>
      <c r="C146" s="1"/>
      <c r="D146" s="1"/>
      <c r="E146">
        <f>IFERROR(SUMIFS('Stock Received'!$F:$F,'Stock Received'!$D:$D,$A146,'Stock Received'!$E:$E,$C146),0)</f>
        <v>0</v>
      </c>
      <c r="F146">
        <f>IFERROR(SUMIFS('Arrangement Tracker'!$F:$F,'Arrangement Tracker'!$D:$D,$A146,'Arrangement Tracker'!$E:$E,$C146),0)</f>
        <v>0</v>
      </c>
      <c r="G146">
        <f>IFERROR(SUMIFS('Losses &amp; Damages'!$E:$E,'Losses &amp; Damages'!$C:$C,$A146,'Losses &amp; Damages'!$D:$D,$C146),0)</f>
        <v>0</v>
      </c>
      <c r="H146">
        <f t="shared" si="2"/>
        <v>0</v>
      </c>
    </row>
    <row r="147" spans="1:8" x14ac:dyDescent="0.25">
      <c r="A147" s="1"/>
      <c r="B147" s="1"/>
      <c r="C147" s="1"/>
      <c r="D147" s="1"/>
      <c r="E147">
        <f>IFERROR(SUMIFS('Stock Received'!$F:$F,'Stock Received'!$D:$D,$A147,'Stock Received'!$E:$E,$C147),0)</f>
        <v>0</v>
      </c>
      <c r="F147">
        <f>IFERROR(SUMIFS('Arrangement Tracker'!$F:$F,'Arrangement Tracker'!$D:$D,$A147,'Arrangement Tracker'!$E:$E,$C147),0)</f>
        <v>0</v>
      </c>
      <c r="G147">
        <f>IFERROR(SUMIFS('Losses &amp; Damages'!$E:$E,'Losses &amp; Damages'!$C:$C,$A147,'Losses &amp; Damages'!$D:$D,$C147),0)</f>
        <v>0</v>
      </c>
      <c r="H147">
        <f t="shared" si="2"/>
        <v>0</v>
      </c>
    </row>
    <row r="148" spans="1:8" x14ac:dyDescent="0.25">
      <c r="A148" s="1"/>
      <c r="B148" s="1"/>
      <c r="C148" s="1"/>
      <c r="D148" s="1"/>
      <c r="E148">
        <f>IFERROR(SUMIFS('Stock Received'!$F:$F,'Stock Received'!$D:$D,$A148,'Stock Received'!$E:$E,$C148),0)</f>
        <v>0</v>
      </c>
      <c r="F148">
        <f>IFERROR(SUMIFS('Arrangement Tracker'!$F:$F,'Arrangement Tracker'!$D:$D,$A148,'Arrangement Tracker'!$E:$E,$C148),0)</f>
        <v>0</v>
      </c>
      <c r="G148">
        <f>IFERROR(SUMIFS('Losses &amp; Damages'!$E:$E,'Losses &amp; Damages'!$C:$C,$A148,'Losses &amp; Damages'!$D:$D,$C148),0)</f>
        <v>0</v>
      </c>
      <c r="H148">
        <f t="shared" si="2"/>
        <v>0</v>
      </c>
    </row>
    <row r="149" spans="1:8" x14ac:dyDescent="0.25">
      <c r="A149" s="1"/>
      <c r="B149" s="1"/>
      <c r="C149" s="1"/>
      <c r="D149" s="1"/>
      <c r="E149">
        <f>IFERROR(SUMIFS('Stock Received'!$F:$F,'Stock Received'!$D:$D,$A149,'Stock Received'!$E:$E,$C149),0)</f>
        <v>0</v>
      </c>
      <c r="F149">
        <f>IFERROR(SUMIFS('Arrangement Tracker'!$F:$F,'Arrangement Tracker'!$D:$D,$A149,'Arrangement Tracker'!$E:$E,$C149),0)</f>
        <v>0</v>
      </c>
      <c r="G149">
        <f>IFERROR(SUMIFS('Losses &amp; Damages'!$E:$E,'Losses &amp; Damages'!$C:$C,$A149,'Losses &amp; Damages'!$D:$D,$C149),0)</f>
        <v>0</v>
      </c>
      <c r="H149">
        <f t="shared" si="2"/>
        <v>0</v>
      </c>
    </row>
    <row r="150" spans="1:8" x14ac:dyDescent="0.25">
      <c r="A150" s="1"/>
      <c r="B150" s="1"/>
      <c r="C150" s="1"/>
      <c r="D150" s="1"/>
      <c r="E150">
        <f>IFERROR(SUMIFS('Stock Received'!$F:$F,'Stock Received'!$D:$D,$A150,'Stock Received'!$E:$E,$C150),0)</f>
        <v>0</v>
      </c>
      <c r="F150">
        <f>IFERROR(SUMIFS('Arrangement Tracker'!$F:$F,'Arrangement Tracker'!$D:$D,$A150,'Arrangement Tracker'!$E:$E,$C150),0)</f>
        <v>0</v>
      </c>
      <c r="G150">
        <f>IFERROR(SUMIFS('Losses &amp; Damages'!$E:$E,'Losses &amp; Damages'!$C:$C,$A150,'Losses &amp; Damages'!$D:$D,$C150),0)</f>
        <v>0</v>
      </c>
      <c r="H150">
        <f t="shared" si="2"/>
        <v>0</v>
      </c>
    </row>
    <row r="151" spans="1:8" x14ac:dyDescent="0.25">
      <c r="A151" s="1"/>
      <c r="B151" s="1"/>
      <c r="C151" s="1"/>
      <c r="D151" s="1"/>
      <c r="E151">
        <f>IFERROR(SUMIFS('Stock Received'!$F:$F,'Stock Received'!$D:$D,$A151,'Stock Received'!$E:$E,$C151),0)</f>
        <v>0</v>
      </c>
      <c r="F151">
        <f>IFERROR(SUMIFS('Arrangement Tracker'!$F:$F,'Arrangement Tracker'!$D:$D,$A151,'Arrangement Tracker'!$E:$E,$C151),0)</f>
        <v>0</v>
      </c>
      <c r="G151">
        <f>IFERROR(SUMIFS('Losses &amp; Damages'!$E:$E,'Losses &amp; Damages'!$C:$C,$A151,'Losses &amp; Damages'!$D:$D,$C151),0)</f>
        <v>0</v>
      </c>
      <c r="H151">
        <f t="shared" si="2"/>
        <v>0</v>
      </c>
    </row>
    <row r="152" spans="1:8" x14ac:dyDescent="0.25">
      <c r="A152" s="1"/>
      <c r="B152" s="1"/>
      <c r="C152" s="1"/>
      <c r="D152" s="1"/>
      <c r="E152">
        <f>IFERROR(SUMIFS('Stock Received'!$F:$F,'Stock Received'!$D:$D,$A152,'Stock Received'!$E:$E,$C152),0)</f>
        <v>0</v>
      </c>
      <c r="F152">
        <f>IFERROR(SUMIFS('Arrangement Tracker'!$F:$F,'Arrangement Tracker'!$D:$D,$A152,'Arrangement Tracker'!$E:$E,$C152),0)</f>
        <v>0</v>
      </c>
      <c r="G152">
        <f>IFERROR(SUMIFS('Losses &amp; Damages'!$E:$E,'Losses &amp; Damages'!$C:$C,$A152,'Losses &amp; Damages'!$D:$D,$C152),0)</f>
        <v>0</v>
      </c>
      <c r="H152">
        <f t="shared" si="2"/>
        <v>0</v>
      </c>
    </row>
    <row r="153" spans="1:8" x14ac:dyDescent="0.25">
      <c r="A153" s="1"/>
      <c r="B153" s="1"/>
      <c r="C153" s="1"/>
      <c r="D153" s="1"/>
      <c r="E153">
        <f>IFERROR(SUMIFS('Stock Received'!$F:$F,'Stock Received'!$D:$D,$A153,'Stock Received'!$E:$E,$C153),0)</f>
        <v>0</v>
      </c>
      <c r="F153">
        <f>IFERROR(SUMIFS('Arrangement Tracker'!$F:$F,'Arrangement Tracker'!$D:$D,$A153,'Arrangement Tracker'!$E:$E,$C153),0)</f>
        <v>0</v>
      </c>
      <c r="G153">
        <f>IFERROR(SUMIFS('Losses &amp; Damages'!$E:$E,'Losses &amp; Damages'!$C:$C,$A153,'Losses &amp; Damages'!$D:$D,$C153),0)</f>
        <v>0</v>
      </c>
      <c r="H153">
        <f t="shared" si="2"/>
        <v>0</v>
      </c>
    </row>
    <row r="154" spans="1:8" x14ac:dyDescent="0.25">
      <c r="A154" s="1"/>
      <c r="B154" s="1"/>
      <c r="C154" s="1"/>
      <c r="D154" s="1"/>
      <c r="E154">
        <f>IFERROR(SUMIFS('Stock Received'!$F:$F,'Stock Received'!$D:$D,$A154,'Stock Received'!$E:$E,$C154),0)</f>
        <v>0</v>
      </c>
      <c r="F154">
        <f>IFERROR(SUMIFS('Arrangement Tracker'!$F:$F,'Arrangement Tracker'!$D:$D,$A154,'Arrangement Tracker'!$E:$E,$C154),0)</f>
        <v>0</v>
      </c>
      <c r="G154">
        <f>IFERROR(SUMIFS('Losses &amp; Damages'!$E:$E,'Losses &amp; Damages'!$C:$C,$A154,'Losses &amp; Damages'!$D:$D,$C154),0)</f>
        <v>0</v>
      </c>
      <c r="H154">
        <f t="shared" si="2"/>
        <v>0</v>
      </c>
    </row>
    <row r="155" spans="1:8" x14ac:dyDescent="0.25">
      <c r="A155" s="1"/>
      <c r="B155" s="1"/>
      <c r="C155" s="1"/>
      <c r="D155" s="1"/>
      <c r="E155">
        <f>IFERROR(SUMIFS('Stock Received'!$F:$F,'Stock Received'!$D:$D,$A155,'Stock Received'!$E:$E,$C155),0)</f>
        <v>0</v>
      </c>
      <c r="F155">
        <f>IFERROR(SUMIFS('Arrangement Tracker'!$F:$F,'Arrangement Tracker'!$D:$D,$A155,'Arrangement Tracker'!$E:$E,$C155),0)</f>
        <v>0</v>
      </c>
      <c r="G155">
        <f>IFERROR(SUMIFS('Losses &amp; Damages'!$E:$E,'Losses &amp; Damages'!$C:$C,$A155,'Losses &amp; Damages'!$D:$D,$C155),0)</f>
        <v>0</v>
      </c>
      <c r="H155">
        <f t="shared" si="2"/>
        <v>0</v>
      </c>
    </row>
    <row r="156" spans="1:8" x14ac:dyDescent="0.25">
      <c r="A156" s="1"/>
      <c r="B156" s="1"/>
      <c r="C156" s="1"/>
      <c r="D156" s="1"/>
      <c r="E156">
        <f>IFERROR(SUMIFS('Stock Received'!$F:$F,'Stock Received'!$D:$D,$A156,'Stock Received'!$E:$E,$C156),0)</f>
        <v>0</v>
      </c>
      <c r="F156">
        <f>IFERROR(SUMIFS('Arrangement Tracker'!$F:$F,'Arrangement Tracker'!$D:$D,$A156,'Arrangement Tracker'!$E:$E,$C156),0)</f>
        <v>0</v>
      </c>
      <c r="G156">
        <f>IFERROR(SUMIFS('Losses &amp; Damages'!$E:$E,'Losses &amp; Damages'!$C:$C,$A156,'Losses &amp; Damages'!$D:$D,$C156),0)</f>
        <v>0</v>
      </c>
      <c r="H156">
        <f t="shared" si="2"/>
        <v>0</v>
      </c>
    </row>
    <row r="157" spans="1:8" x14ac:dyDescent="0.25">
      <c r="A157" s="1"/>
      <c r="B157" s="1"/>
      <c r="C157" s="1"/>
      <c r="D157" s="1"/>
      <c r="E157">
        <f>IFERROR(SUMIFS('Stock Received'!$F:$F,'Stock Received'!$D:$D,$A157,'Stock Received'!$E:$E,$C157),0)</f>
        <v>0</v>
      </c>
      <c r="F157">
        <f>IFERROR(SUMIFS('Arrangement Tracker'!$F:$F,'Arrangement Tracker'!$D:$D,$A157,'Arrangement Tracker'!$E:$E,$C157),0)</f>
        <v>0</v>
      </c>
      <c r="G157">
        <f>IFERROR(SUMIFS('Losses &amp; Damages'!$E:$E,'Losses &amp; Damages'!$C:$C,$A157,'Losses &amp; Damages'!$D:$D,$C157),0)</f>
        <v>0</v>
      </c>
      <c r="H157">
        <f t="shared" si="2"/>
        <v>0</v>
      </c>
    </row>
    <row r="158" spans="1:8" x14ac:dyDescent="0.25">
      <c r="A158" s="1"/>
      <c r="B158" s="1"/>
      <c r="C158" s="1"/>
      <c r="D158" s="1"/>
      <c r="E158">
        <f>IFERROR(SUMIFS('Stock Received'!$F:$F,'Stock Received'!$D:$D,$A158,'Stock Received'!$E:$E,$C158),0)</f>
        <v>0</v>
      </c>
      <c r="F158">
        <f>IFERROR(SUMIFS('Arrangement Tracker'!$F:$F,'Arrangement Tracker'!$D:$D,$A158,'Arrangement Tracker'!$E:$E,$C158),0)</f>
        <v>0</v>
      </c>
      <c r="G158">
        <f>IFERROR(SUMIFS('Losses &amp; Damages'!$E:$E,'Losses &amp; Damages'!$C:$C,$A158,'Losses &amp; Damages'!$D:$D,$C158),0)</f>
        <v>0</v>
      </c>
      <c r="H158">
        <f t="shared" si="2"/>
        <v>0</v>
      </c>
    </row>
    <row r="159" spans="1:8" x14ac:dyDescent="0.25">
      <c r="A159" s="1"/>
      <c r="B159" s="1"/>
      <c r="C159" s="1"/>
      <c r="D159" s="1"/>
      <c r="E159">
        <f>IFERROR(SUMIFS('Stock Received'!$F:$F,'Stock Received'!$D:$D,$A159,'Stock Received'!$E:$E,$C159),0)</f>
        <v>0</v>
      </c>
      <c r="F159">
        <f>IFERROR(SUMIFS('Arrangement Tracker'!$F:$F,'Arrangement Tracker'!$D:$D,$A159,'Arrangement Tracker'!$E:$E,$C159),0)</f>
        <v>0</v>
      </c>
      <c r="G159">
        <f>IFERROR(SUMIFS('Losses &amp; Damages'!$E:$E,'Losses &amp; Damages'!$C:$C,$A159,'Losses &amp; Damages'!$D:$D,$C159),0)</f>
        <v>0</v>
      </c>
      <c r="H159">
        <f t="shared" si="2"/>
        <v>0</v>
      </c>
    </row>
    <row r="160" spans="1:8" x14ac:dyDescent="0.25">
      <c r="A160" s="1"/>
      <c r="B160" s="1"/>
      <c r="C160" s="1"/>
      <c r="D160" s="1"/>
      <c r="E160">
        <f>IFERROR(SUMIFS('Stock Received'!$F:$F,'Stock Received'!$D:$D,$A160,'Stock Received'!$E:$E,$C160),0)</f>
        <v>0</v>
      </c>
      <c r="F160">
        <f>IFERROR(SUMIFS('Arrangement Tracker'!$F:$F,'Arrangement Tracker'!$D:$D,$A160,'Arrangement Tracker'!$E:$E,$C160),0)</f>
        <v>0</v>
      </c>
      <c r="G160">
        <f>IFERROR(SUMIFS('Losses &amp; Damages'!$E:$E,'Losses &amp; Damages'!$C:$C,$A160,'Losses &amp; Damages'!$D:$D,$C160),0)</f>
        <v>0</v>
      </c>
      <c r="H160">
        <f t="shared" si="2"/>
        <v>0</v>
      </c>
    </row>
    <row r="161" spans="1:8" x14ac:dyDescent="0.25">
      <c r="A161" s="1"/>
      <c r="B161" s="1"/>
      <c r="C161" s="1"/>
      <c r="D161" s="1"/>
      <c r="E161">
        <f>IFERROR(SUMIFS('Stock Received'!$F:$F,'Stock Received'!$D:$D,$A161,'Stock Received'!$E:$E,$C161),0)</f>
        <v>0</v>
      </c>
      <c r="F161">
        <f>IFERROR(SUMIFS('Arrangement Tracker'!$F:$F,'Arrangement Tracker'!$D:$D,$A161,'Arrangement Tracker'!$E:$E,$C161),0)</f>
        <v>0</v>
      </c>
      <c r="G161">
        <f>IFERROR(SUMIFS('Losses &amp; Damages'!$E:$E,'Losses &amp; Damages'!$C:$C,$A161,'Losses &amp; Damages'!$D:$D,$C161),0)</f>
        <v>0</v>
      </c>
      <c r="H161">
        <f t="shared" si="2"/>
        <v>0</v>
      </c>
    </row>
    <row r="162" spans="1:8" x14ac:dyDescent="0.25">
      <c r="A162" s="1"/>
      <c r="B162" s="1"/>
      <c r="C162" s="1"/>
      <c r="D162" s="1"/>
      <c r="E162">
        <f>IFERROR(SUMIFS('Stock Received'!$F:$F,'Stock Received'!$D:$D,$A162,'Stock Received'!$E:$E,$C162),0)</f>
        <v>0</v>
      </c>
      <c r="F162">
        <f>IFERROR(SUMIFS('Arrangement Tracker'!$F:$F,'Arrangement Tracker'!$D:$D,$A162,'Arrangement Tracker'!$E:$E,$C162),0)</f>
        <v>0</v>
      </c>
      <c r="G162">
        <f>IFERROR(SUMIFS('Losses &amp; Damages'!$E:$E,'Losses &amp; Damages'!$C:$C,$A162,'Losses &amp; Damages'!$D:$D,$C162),0)</f>
        <v>0</v>
      </c>
      <c r="H162">
        <f t="shared" si="2"/>
        <v>0</v>
      </c>
    </row>
    <row r="163" spans="1:8" x14ac:dyDescent="0.25">
      <c r="A163" s="1"/>
      <c r="B163" s="1"/>
      <c r="C163" s="1"/>
      <c r="D163" s="1"/>
      <c r="E163">
        <f>IFERROR(SUMIFS('Stock Received'!$F:$F,'Stock Received'!$D:$D,$A163,'Stock Received'!$E:$E,$C163),0)</f>
        <v>0</v>
      </c>
      <c r="F163">
        <f>IFERROR(SUMIFS('Arrangement Tracker'!$F:$F,'Arrangement Tracker'!$D:$D,$A163,'Arrangement Tracker'!$E:$E,$C163),0)</f>
        <v>0</v>
      </c>
      <c r="G163">
        <f>IFERROR(SUMIFS('Losses &amp; Damages'!$E:$E,'Losses &amp; Damages'!$C:$C,$A163,'Losses &amp; Damages'!$D:$D,$C163),0)</f>
        <v>0</v>
      </c>
      <c r="H163">
        <f t="shared" si="2"/>
        <v>0</v>
      </c>
    </row>
    <row r="164" spans="1:8" x14ac:dyDescent="0.25">
      <c r="A164" s="1"/>
      <c r="B164" s="1"/>
      <c r="C164" s="1"/>
      <c r="D164" s="1"/>
      <c r="E164">
        <f>IFERROR(SUMIFS('Stock Received'!$F:$F,'Stock Received'!$D:$D,$A164,'Stock Received'!$E:$E,$C164),0)</f>
        <v>0</v>
      </c>
      <c r="F164">
        <f>IFERROR(SUMIFS('Arrangement Tracker'!$F:$F,'Arrangement Tracker'!$D:$D,$A164,'Arrangement Tracker'!$E:$E,$C164),0)</f>
        <v>0</v>
      </c>
      <c r="G164">
        <f>IFERROR(SUMIFS('Losses &amp; Damages'!$E:$E,'Losses &amp; Damages'!$C:$C,$A164,'Losses &amp; Damages'!$D:$D,$C164),0)</f>
        <v>0</v>
      </c>
      <c r="H164">
        <f t="shared" si="2"/>
        <v>0</v>
      </c>
    </row>
    <row r="165" spans="1:8" x14ac:dyDescent="0.25">
      <c r="A165" s="1"/>
      <c r="B165" s="1"/>
      <c r="C165" s="1"/>
      <c r="D165" s="1"/>
      <c r="E165">
        <f>IFERROR(SUMIFS('Stock Received'!$F:$F,'Stock Received'!$D:$D,$A165,'Stock Received'!$E:$E,$C165),0)</f>
        <v>0</v>
      </c>
      <c r="F165">
        <f>IFERROR(SUMIFS('Arrangement Tracker'!$F:$F,'Arrangement Tracker'!$D:$D,$A165,'Arrangement Tracker'!$E:$E,$C165),0)</f>
        <v>0</v>
      </c>
      <c r="G165">
        <f>IFERROR(SUMIFS('Losses &amp; Damages'!$E:$E,'Losses &amp; Damages'!$C:$C,$A165,'Losses &amp; Damages'!$D:$D,$C165),0)</f>
        <v>0</v>
      </c>
      <c r="H165">
        <f t="shared" si="2"/>
        <v>0</v>
      </c>
    </row>
    <row r="166" spans="1:8" x14ac:dyDescent="0.25">
      <c r="A166" s="1"/>
      <c r="B166" s="1"/>
      <c r="C166" s="1"/>
      <c r="D166" s="1"/>
      <c r="E166">
        <f>IFERROR(SUMIFS('Stock Received'!$F:$F,'Stock Received'!$D:$D,$A166,'Stock Received'!$E:$E,$C166),0)</f>
        <v>0</v>
      </c>
      <c r="F166">
        <f>IFERROR(SUMIFS('Arrangement Tracker'!$F:$F,'Arrangement Tracker'!$D:$D,$A166,'Arrangement Tracker'!$E:$E,$C166),0)</f>
        <v>0</v>
      </c>
      <c r="G166">
        <f>IFERROR(SUMIFS('Losses &amp; Damages'!$E:$E,'Losses &amp; Damages'!$C:$C,$A166,'Losses &amp; Damages'!$D:$D,$C166),0)</f>
        <v>0</v>
      </c>
      <c r="H166">
        <f t="shared" si="2"/>
        <v>0</v>
      </c>
    </row>
    <row r="167" spans="1:8" x14ac:dyDescent="0.25">
      <c r="A167" s="1"/>
      <c r="B167" s="1"/>
      <c r="C167" s="1"/>
      <c r="D167" s="1"/>
      <c r="E167">
        <f>IFERROR(SUMIFS('Stock Received'!$F:$F,'Stock Received'!$D:$D,$A167,'Stock Received'!$E:$E,$C167),0)</f>
        <v>0</v>
      </c>
      <c r="F167">
        <f>IFERROR(SUMIFS('Arrangement Tracker'!$F:$F,'Arrangement Tracker'!$D:$D,$A167,'Arrangement Tracker'!$E:$E,$C167),0)</f>
        <v>0</v>
      </c>
      <c r="G167">
        <f>IFERROR(SUMIFS('Losses &amp; Damages'!$E:$E,'Losses &amp; Damages'!$C:$C,$A167,'Losses &amp; Damages'!$D:$D,$C167),0)</f>
        <v>0</v>
      </c>
      <c r="H167">
        <f t="shared" si="2"/>
        <v>0</v>
      </c>
    </row>
    <row r="168" spans="1:8" x14ac:dyDescent="0.25">
      <c r="A168" s="1"/>
      <c r="B168" s="1"/>
      <c r="C168" s="1"/>
      <c r="D168" s="1"/>
      <c r="E168">
        <f>IFERROR(SUMIFS('Stock Received'!$F:$F,'Stock Received'!$D:$D,$A168,'Stock Received'!$E:$E,$C168),0)</f>
        <v>0</v>
      </c>
      <c r="F168">
        <f>IFERROR(SUMIFS('Arrangement Tracker'!$F:$F,'Arrangement Tracker'!$D:$D,$A168,'Arrangement Tracker'!$E:$E,$C168),0)</f>
        <v>0</v>
      </c>
      <c r="G168">
        <f>IFERROR(SUMIFS('Losses &amp; Damages'!$E:$E,'Losses &amp; Damages'!$C:$C,$A168,'Losses &amp; Damages'!$D:$D,$C168),0)</f>
        <v>0</v>
      </c>
      <c r="H168">
        <f t="shared" si="2"/>
        <v>0</v>
      </c>
    </row>
    <row r="169" spans="1:8" x14ac:dyDescent="0.25">
      <c r="A169" s="1"/>
      <c r="B169" s="1"/>
      <c r="C169" s="1"/>
      <c r="D169" s="1"/>
      <c r="E169">
        <f>IFERROR(SUMIFS('Stock Received'!$F:$F,'Stock Received'!$D:$D,$A169,'Stock Received'!$E:$E,$C169),0)</f>
        <v>0</v>
      </c>
      <c r="F169">
        <f>IFERROR(SUMIFS('Arrangement Tracker'!$F:$F,'Arrangement Tracker'!$D:$D,$A169,'Arrangement Tracker'!$E:$E,$C169),0)</f>
        <v>0</v>
      </c>
      <c r="G169">
        <f>IFERROR(SUMIFS('Losses &amp; Damages'!$E:$E,'Losses &amp; Damages'!$C:$C,$A169,'Losses &amp; Damages'!$D:$D,$C169),0)</f>
        <v>0</v>
      </c>
      <c r="H169">
        <f t="shared" si="2"/>
        <v>0</v>
      </c>
    </row>
    <row r="170" spans="1:8" x14ac:dyDescent="0.25">
      <c r="A170" s="1"/>
      <c r="B170" s="1"/>
      <c r="C170" s="1"/>
      <c r="D170" s="1"/>
      <c r="E170">
        <f>IFERROR(SUMIFS('Stock Received'!$F:$F,'Stock Received'!$D:$D,$A170,'Stock Received'!$E:$E,$C170),0)</f>
        <v>0</v>
      </c>
      <c r="F170">
        <f>IFERROR(SUMIFS('Arrangement Tracker'!$F:$F,'Arrangement Tracker'!$D:$D,$A170,'Arrangement Tracker'!$E:$E,$C170),0)</f>
        <v>0</v>
      </c>
      <c r="G170">
        <f>IFERROR(SUMIFS('Losses &amp; Damages'!$E:$E,'Losses &amp; Damages'!$C:$C,$A170,'Losses &amp; Damages'!$D:$D,$C170),0)</f>
        <v>0</v>
      </c>
      <c r="H170">
        <f t="shared" si="2"/>
        <v>0</v>
      </c>
    </row>
    <row r="171" spans="1:8" x14ac:dyDescent="0.25">
      <c r="A171" s="1"/>
      <c r="B171" s="1"/>
      <c r="C171" s="1"/>
      <c r="D171" s="1"/>
      <c r="E171">
        <f>IFERROR(SUMIFS('Stock Received'!$F:$F,'Stock Received'!$D:$D,$A171,'Stock Received'!$E:$E,$C171),0)</f>
        <v>0</v>
      </c>
      <c r="F171">
        <f>IFERROR(SUMIFS('Arrangement Tracker'!$F:$F,'Arrangement Tracker'!$D:$D,$A171,'Arrangement Tracker'!$E:$E,$C171),0)</f>
        <v>0</v>
      </c>
      <c r="G171">
        <f>IFERROR(SUMIFS('Losses &amp; Damages'!$E:$E,'Losses &amp; Damages'!$C:$C,$A171,'Losses &amp; Damages'!$D:$D,$C171),0)</f>
        <v>0</v>
      </c>
      <c r="H171">
        <f t="shared" si="2"/>
        <v>0</v>
      </c>
    </row>
    <row r="172" spans="1:8" x14ac:dyDescent="0.25">
      <c r="A172" s="1"/>
      <c r="B172" s="1"/>
      <c r="C172" s="1"/>
      <c r="D172" s="1"/>
      <c r="E172">
        <f>IFERROR(SUMIFS('Stock Received'!$F:$F,'Stock Received'!$D:$D,$A172,'Stock Received'!$E:$E,$C172),0)</f>
        <v>0</v>
      </c>
      <c r="F172">
        <f>IFERROR(SUMIFS('Arrangement Tracker'!$F:$F,'Arrangement Tracker'!$D:$D,$A172,'Arrangement Tracker'!$E:$E,$C172),0)</f>
        <v>0</v>
      </c>
      <c r="G172">
        <f>IFERROR(SUMIFS('Losses &amp; Damages'!$E:$E,'Losses &amp; Damages'!$C:$C,$A172,'Losses &amp; Damages'!$D:$D,$C172),0)</f>
        <v>0</v>
      </c>
      <c r="H172">
        <f t="shared" si="2"/>
        <v>0</v>
      </c>
    </row>
    <row r="173" spans="1:8" x14ac:dyDescent="0.25">
      <c r="A173" s="1"/>
      <c r="B173" s="1"/>
      <c r="C173" s="1"/>
      <c r="D173" s="1"/>
      <c r="E173">
        <f>IFERROR(SUMIFS('Stock Received'!$F:$F,'Stock Received'!$D:$D,$A173,'Stock Received'!$E:$E,$C173),0)</f>
        <v>0</v>
      </c>
      <c r="F173">
        <f>IFERROR(SUMIFS('Arrangement Tracker'!$F:$F,'Arrangement Tracker'!$D:$D,$A173,'Arrangement Tracker'!$E:$E,$C173),0)</f>
        <v>0</v>
      </c>
      <c r="G173">
        <f>IFERROR(SUMIFS('Losses &amp; Damages'!$E:$E,'Losses &amp; Damages'!$C:$C,$A173,'Losses &amp; Damages'!$D:$D,$C173),0)</f>
        <v>0</v>
      </c>
      <c r="H173">
        <f t="shared" si="2"/>
        <v>0</v>
      </c>
    </row>
    <row r="174" spans="1:8" x14ac:dyDescent="0.25">
      <c r="A174" s="1"/>
      <c r="B174" s="1"/>
      <c r="C174" s="1"/>
      <c r="D174" s="1"/>
      <c r="E174">
        <f>IFERROR(SUMIFS('Stock Received'!$F:$F,'Stock Received'!$D:$D,$A174,'Stock Received'!$E:$E,$C174),0)</f>
        <v>0</v>
      </c>
      <c r="F174">
        <f>IFERROR(SUMIFS('Arrangement Tracker'!$F:$F,'Arrangement Tracker'!$D:$D,$A174,'Arrangement Tracker'!$E:$E,$C174),0)</f>
        <v>0</v>
      </c>
      <c r="G174">
        <f>IFERROR(SUMIFS('Losses &amp; Damages'!$E:$E,'Losses &amp; Damages'!$C:$C,$A174,'Losses &amp; Damages'!$D:$D,$C174),0)</f>
        <v>0</v>
      </c>
      <c r="H174">
        <f t="shared" si="2"/>
        <v>0</v>
      </c>
    </row>
    <row r="175" spans="1:8" x14ac:dyDescent="0.25">
      <c r="A175" s="1"/>
      <c r="B175" s="1"/>
      <c r="C175" s="1"/>
      <c r="D175" s="1"/>
      <c r="E175">
        <f>IFERROR(SUMIFS('Stock Received'!$F:$F,'Stock Received'!$D:$D,$A175,'Stock Received'!$E:$E,$C175),0)</f>
        <v>0</v>
      </c>
      <c r="F175">
        <f>IFERROR(SUMIFS('Arrangement Tracker'!$F:$F,'Arrangement Tracker'!$D:$D,$A175,'Arrangement Tracker'!$E:$E,$C175),0)</f>
        <v>0</v>
      </c>
      <c r="G175">
        <f>IFERROR(SUMIFS('Losses &amp; Damages'!$E:$E,'Losses &amp; Damages'!$C:$C,$A175,'Losses &amp; Damages'!$D:$D,$C175),0)</f>
        <v>0</v>
      </c>
      <c r="H175">
        <f t="shared" si="2"/>
        <v>0</v>
      </c>
    </row>
    <row r="176" spans="1:8" x14ac:dyDescent="0.25">
      <c r="A176" s="1"/>
      <c r="B176" s="1"/>
      <c r="C176" s="1"/>
      <c r="D176" s="1"/>
      <c r="E176">
        <f>IFERROR(SUMIFS('Stock Received'!$F:$F,'Stock Received'!$D:$D,$A176,'Stock Received'!$E:$E,$C176),0)</f>
        <v>0</v>
      </c>
      <c r="F176">
        <f>IFERROR(SUMIFS('Arrangement Tracker'!$F:$F,'Arrangement Tracker'!$D:$D,$A176,'Arrangement Tracker'!$E:$E,$C176),0)</f>
        <v>0</v>
      </c>
      <c r="G176">
        <f>IFERROR(SUMIFS('Losses &amp; Damages'!$E:$E,'Losses &amp; Damages'!$C:$C,$A176,'Losses &amp; Damages'!$D:$D,$C176),0)</f>
        <v>0</v>
      </c>
      <c r="H176">
        <f t="shared" si="2"/>
        <v>0</v>
      </c>
    </row>
    <row r="177" spans="1:8" x14ac:dyDescent="0.25">
      <c r="A177" s="1"/>
      <c r="B177" s="1"/>
      <c r="C177" s="1"/>
      <c r="D177" s="1"/>
      <c r="E177">
        <f>IFERROR(SUMIFS('Stock Received'!$F:$F,'Stock Received'!$D:$D,$A177,'Stock Received'!$E:$E,$C177),0)</f>
        <v>0</v>
      </c>
      <c r="F177">
        <f>IFERROR(SUMIFS('Arrangement Tracker'!$F:$F,'Arrangement Tracker'!$D:$D,$A177,'Arrangement Tracker'!$E:$E,$C177),0)</f>
        <v>0</v>
      </c>
      <c r="G177">
        <f>IFERROR(SUMIFS('Losses &amp; Damages'!$E:$E,'Losses &amp; Damages'!$C:$C,$A177,'Losses &amp; Damages'!$D:$D,$C177),0)</f>
        <v>0</v>
      </c>
      <c r="H177">
        <f t="shared" si="2"/>
        <v>0</v>
      </c>
    </row>
    <row r="178" spans="1:8" x14ac:dyDescent="0.25">
      <c r="A178" s="1"/>
      <c r="B178" s="1"/>
      <c r="C178" s="1"/>
      <c r="D178" s="1"/>
      <c r="E178">
        <f>IFERROR(SUMIFS('Stock Received'!$F:$F,'Stock Received'!$D:$D,$A178,'Stock Received'!$E:$E,$C178),0)</f>
        <v>0</v>
      </c>
      <c r="F178">
        <f>IFERROR(SUMIFS('Arrangement Tracker'!$F:$F,'Arrangement Tracker'!$D:$D,$A178,'Arrangement Tracker'!$E:$E,$C178),0)</f>
        <v>0</v>
      </c>
      <c r="G178">
        <f>IFERROR(SUMIFS('Losses &amp; Damages'!$E:$E,'Losses &amp; Damages'!$C:$C,$A178,'Losses &amp; Damages'!$D:$D,$C178),0)</f>
        <v>0</v>
      </c>
      <c r="H178">
        <f t="shared" si="2"/>
        <v>0</v>
      </c>
    </row>
    <row r="179" spans="1:8" x14ac:dyDescent="0.25">
      <c r="A179" s="1"/>
      <c r="B179" s="1"/>
      <c r="C179" s="1"/>
      <c r="D179" s="1"/>
      <c r="E179">
        <f>IFERROR(SUMIFS('Stock Received'!$F:$F,'Stock Received'!$D:$D,$A179,'Stock Received'!$E:$E,$C179),0)</f>
        <v>0</v>
      </c>
      <c r="F179">
        <f>IFERROR(SUMIFS('Arrangement Tracker'!$F:$F,'Arrangement Tracker'!$D:$D,$A179,'Arrangement Tracker'!$E:$E,$C179),0)</f>
        <v>0</v>
      </c>
      <c r="G179">
        <f>IFERROR(SUMIFS('Losses &amp; Damages'!$E:$E,'Losses &amp; Damages'!$C:$C,$A179,'Losses &amp; Damages'!$D:$D,$C179),0)</f>
        <v>0</v>
      </c>
      <c r="H179">
        <f t="shared" si="2"/>
        <v>0</v>
      </c>
    </row>
    <row r="180" spans="1:8" x14ac:dyDescent="0.25">
      <c r="A180" s="1"/>
      <c r="B180" s="1"/>
      <c r="C180" s="1"/>
      <c r="D180" s="1"/>
      <c r="E180">
        <f>IFERROR(SUMIFS('Stock Received'!$F:$F,'Stock Received'!$D:$D,$A180,'Stock Received'!$E:$E,$C180),0)</f>
        <v>0</v>
      </c>
      <c r="F180">
        <f>IFERROR(SUMIFS('Arrangement Tracker'!$F:$F,'Arrangement Tracker'!$D:$D,$A180,'Arrangement Tracker'!$E:$E,$C180),0)</f>
        <v>0</v>
      </c>
      <c r="G180">
        <f>IFERROR(SUMIFS('Losses &amp; Damages'!$E:$E,'Losses &amp; Damages'!$C:$C,$A180,'Losses &amp; Damages'!$D:$D,$C180),0)</f>
        <v>0</v>
      </c>
      <c r="H180">
        <f t="shared" si="2"/>
        <v>0</v>
      </c>
    </row>
    <row r="181" spans="1:8" x14ac:dyDescent="0.25">
      <c r="A181" s="1"/>
      <c r="B181" s="1"/>
      <c r="C181" s="1"/>
      <c r="D181" s="1"/>
      <c r="E181">
        <f>IFERROR(SUMIFS('Stock Received'!$F:$F,'Stock Received'!$D:$D,$A181,'Stock Received'!$E:$E,$C181),0)</f>
        <v>0</v>
      </c>
      <c r="F181">
        <f>IFERROR(SUMIFS('Arrangement Tracker'!$F:$F,'Arrangement Tracker'!$D:$D,$A181,'Arrangement Tracker'!$E:$E,$C181),0)</f>
        <v>0</v>
      </c>
      <c r="G181">
        <f>IFERROR(SUMIFS('Losses &amp; Damages'!$E:$E,'Losses &amp; Damages'!$C:$C,$A181,'Losses &amp; Damages'!$D:$D,$C181),0)</f>
        <v>0</v>
      </c>
      <c r="H181">
        <f t="shared" si="2"/>
        <v>0</v>
      </c>
    </row>
    <row r="182" spans="1:8" x14ac:dyDescent="0.25">
      <c r="A182" s="1"/>
      <c r="B182" s="1"/>
      <c r="C182" s="1"/>
      <c r="D182" s="1"/>
      <c r="E182">
        <f>IFERROR(SUMIFS('Stock Received'!$F:$F,'Stock Received'!$D:$D,$A182,'Stock Received'!$E:$E,$C182),0)</f>
        <v>0</v>
      </c>
      <c r="F182">
        <f>IFERROR(SUMIFS('Arrangement Tracker'!$F:$F,'Arrangement Tracker'!$D:$D,$A182,'Arrangement Tracker'!$E:$E,$C182),0)</f>
        <v>0</v>
      </c>
      <c r="G182">
        <f>IFERROR(SUMIFS('Losses &amp; Damages'!$E:$E,'Losses &amp; Damages'!$C:$C,$A182,'Losses &amp; Damages'!$D:$D,$C182),0)</f>
        <v>0</v>
      </c>
      <c r="H182">
        <f t="shared" si="2"/>
        <v>0</v>
      </c>
    </row>
    <row r="183" spans="1:8" x14ac:dyDescent="0.25">
      <c r="A183" s="1"/>
      <c r="B183" s="1"/>
      <c r="C183" s="1"/>
      <c r="D183" s="1"/>
      <c r="E183">
        <f>IFERROR(SUMIFS('Stock Received'!$F:$F,'Stock Received'!$D:$D,$A183,'Stock Received'!$E:$E,$C183),0)</f>
        <v>0</v>
      </c>
      <c r="F183">
        <f>IFERROR(SUMIFS('Arrangement Tracker'!$F:$F,'Arrangement Tracker'!$D:$D,$A183,'Arrangement Tracker'!$E:$E,$C183),0)</f>
        <v>0</v>
      </c>
      <c r="G183">
        <f>IFERROR(SUMIFS('Losses &amp; Damages'!$E:$E,'Losses &amp; Damages'!$C:$C,$A183,'Losses &amp; Damages'!$D:$D,$C183),0)</f>
        <v>0</v>
      </c>
      <c r="H183">
        <f t="shared" si="2"/>
        <v>0</v>
      </c>
    </row>
    <row r="184" spans="1:8" x14ac:dyDescent="0.25">
      <c r="A184" s="1"/>
      <c r="B184" s="1"/>
      <c r="C184" s="1"/>
      <c r="D184" s="1"/>
      <c r="E184">
        <f>IFERROR(SUMIFS('Stock Received'!$F:$F,'Stock Received'!$D:$D,$A184,'Stock Received'!$E:$E,$C184),0)</f>
        <v>0</v>
      </c>
      <c r="F184">
        <f>IFERROR(SUMIFS('Arrangement Tracker'!$F:$F,'Arrangement Tracker'!$D:$D,$A184,'Arrangement Tracker'!$E:$E,$C184),0)</f>
        <v>0</v>
      </c>
      <c r="G184">
        <f>IFERROR(SUMIFS('Losses &amp; Damages'!$E:$E,'Losses &amp; Damages'!$C:$C,$A184,'Losses &amp; Damages'!$D:$D,$C184),0)</f>
        <v>0</v>
      </c>
      <c r="H184">
        <f t="shared" si="2"/>
        <v>0</v>
      </c>
    </row>
    <row r="185" spans="1:8" x14ac:dyDescent="0.25">
      <c r="A185" s="1"/>
      <c r="B185" s="1"/>
      <c r="C185" s="1"/>
      <c r="D185" s="1"/>
      <c r="E185">
        <f>IFERROR(SUMIFS('Stock Received'!$F:$F,'Stock Received'!$D:$D,$A185,'Stock Received'!$E:$E,$C185),0)</f>
        <v>0</v>
      </c>
      <c r="F185">
        <f>IFERROR(SUMIFS('Arrangement Tracker'!$F:$F,'Arrangement Tracker'!$D:$D,$A185,'Arrangement Tracker'!$E:$E,$C185),0)</f>
        <v>0</v>
      </c>
      <c r="G185">
        <f>IFERROR(SUMIFS('Losses &amp; Damages'!$E:$E,'Losses &amp; Damages'!$C:$C,$A185,'Losses &amp; Damages'!$D:$D,$C185),0)</f>
        <v>0</v>
      </c>
      <c r="H185">
        <f t="shared" si="2"/>
        <v>0</v>
      </c>
    </row>
    <row r="186" spans="1:8" x14ac:dyDescent="0.25">
      <c r="A186" s="1"/>
      <c r="B186" s="1"/>
      <c r="C186" s="1"/>
      <c r="D186" s="1"/>
      <c r="E186">
        <f>IFERROR(SUMIFS('Stock Received'!$F:$F,'Stock Received'!$D:$D,$A186,'Stock Received'!$E:$E,$C186),0)</f>
        <v>0</v>
      </c>
      <c r="F186">
        <f>IFERROR(SUMIFS('Arrangement Tracker'!$F:$F,'Arrangement Tracker'!$D:$D,$A186,'Arrangement Tracker'!$E:$E,$C186),0)</f>
        <v>0</v>
      </c>
      <c r="G186">
        <f>IFERROR(SUMIFS('Losses &amp; Damages'!$E:$E,'Losses &amp; Damages'!$C:$C,$A186,'Losses &amp; Damages'!$D:$D,$C186),0)</f>
        <v>0</v>
      </c>
      <c r="H186">
        <f t="shared" si="2"/>
        <v>0</v>
      </c>
    </row>
    <row r="187" spans="1:8" x14ac:dyDescent="0.25">
      <c r="A187" s="1"/>
      <c r="B187" s="1"/>
      <c r="C187" s="1"/>
      <c r="D187" s="1"/>
      <c r="E187">
        <f>IFERROR(SUMIFS('Stock Received'!$F:$F,'Stock Received'!$D:$D,$A187,'Stock Received'!$E:$E,$C187),0)</f>
        <v>0</v>
      </c>
      <c r="F187">
        <f>IFERROR(SUMIFS('Arrangement Tracker'!$F:$F,'Arrangement Tracker'!$D:$D,$A187,'Arrangement Tracker'!$E:$E,$C187),0)</f>
        <v>0</v>
      </c>
      <c r="G187">
        <f>IFERROR(SUMIFS('Losses &amp; Damages'!$E:$E,'Losses &amp; Damages'!$C:$C,$A187,'Losses &amp; Damages'!$D:$D,$C187),0)</f>
        <v>0</v>
      </c>
      <c r="H187">
        <f t="shared" si="2"/>
        <v>0</v>
      </c>
    </row>
    <row r="188" spans="1:8" x14ac:dyDescent="0.25">
      <c r="A188" s="1"/>
      <c r="B188" s="1"/>
      <c r="C188" s="1"/>
      <c r="D188" s="1"/>
      <c r="E188">
        <f>IFERROR(SUMIFS('Stock Received'!$F:$F,'Stock Received'!$D:$D,$A188,'Stock Received'!$E:$E,$C188),0)</f>
        <v>0</v>
      </c>
      <c r="F188">
        <f>IFERROR(SUMIFS('Arrangement Tracker'!$F:$F,'Arrangement Tracker'!$D:$D,$A188,'Arrangement Tracker'!$E:$E,$C188),0)</f>
        <v>0</v>
      </c>
      <c r="G188">
        <f>IFERROR(SUMIFS('Losses &amp; Damages'!$E:$E,'Losses &amp; Damages'!$C:$C,$A188,'Losses &amp; Damages'!$D:$D,$C188),0)</f>
        <v>0</v>
      </c>
      <c r="H188">
        <f t="shared" si="2"/>
        <v>0</v>
      </c>
    </row>
    <row r="189" spans="1:8" x14ac:dyDescent="0.25">
      <c r="A189" s="1"/>
      <c r="B189" s="1"/>
      <c r="C189" s="1"/>
      <c r="D189" s="1"/>
      <c r="E189">
        <f>IFERROR(SUMIFS('Stock Received'!$F:$F,'Stock Received'!$D:$D,$A189,'Stock Received'!$E:$E,$C189),0)</f>
        <v>0</v>
      </c>
      <c r="F189">
        <f>IFERROR(SUMIFS('Arrangement Tracker'!$F:$F,'Arrangement Tracker'!$D:$D,$A189,'Arrangement Tracker'!$E:$E,$C189),0)</f>
        <v>0</v>
      </c>
      <c r="G189">
        <f>IFERROR(SUMIFS('Losses &amp; Damages'!$E:$E,'Losses &amp; Damages'!$C:$C,$A189,'Losses &amp; Damages'!$D:$D,$C189),0)</f>
        <v>0</v>
      </c>
      <c r="H189">
        <f t="shared" si="2"/>
        <v>0</v>
      </c>
    </row>
    <row r="190" spans="1:8" x14ac:dyDescent="0.25">
      <c r="A190" s="1"/>
      <c r="B190" s="1"/>
      <c r="C190" s="1"/>
      <c r="D190" s="1"/>
      <c r="E190">
        <f>IFERROR(SUMIFS('Stock Received'!$F:$F,'Stock Received'!$D:$D,$A190,'Stock Received'!$E:$E,$C190),0)</f>
        <v>0</v>
      </c>
      <c r="F190">
        <f>IFERROR(SUMIFS('Arrangement Tracker'!$F:$F,'Arrangement Tracker'!$D:$D,$A190,'Arrangement Tracker'!$E:$E,$C190),0)</f>
        <v>0</v>
      </c>
      <c r="G190">
        <f>IFERROR(SUMIFS('Losses &amp; Damages'!$E:$E,'Losses &amp; Damages'!$C:$C,$A190,'Losses &amp; Damages'!$D:$D,$C190),0)</f>
        <v>0</v>
      </c>
      <c r="H190">
        <f t="shared" si="2"/>
        <v>0</v>
      </c>
    </row>
    <row r="191" spans="1:8" x14ac:dyDescent="0.25">
      <c r="A191" s="1"/>
      <c r="B191" s="1"/>
      <c r="C191" s="1"/>
      <c r="D191" s="1"/>
      <c r="E191">
        <f>IFERROR(SUMIFS('Stock Received'!$F:$F,'Stock Received'!$D:$D,$A191,'Stock Received'!$E:$E,$C191),0)</f>
        <v>0</v>
      </c>
      <c r="F191">
        <f>IFERROR(SUMIFS('Arrangement Tracker'!$F:$F,'Arrangement Tracker'!$D:$D,$A191,'Arrangement Tracker'!$E:$E,$C191),0)</f>
        <v>0</v>
      </c>
      <c r="G191">
        <f>IFERROR(SUMIFS('Losses &amp; Damages'!$E:$E,'Losses &amp; Damages'!$C:$C,$A191,'Losses &amp; Damages'!$D:$D,$C191),0)</f>
        <v>0</v>
      </c>
      <c r="H191">
        <f t="shared" si="2"/>
        <v>0</v>
      </c>
    </row>
    <row r="192" spans="1:8" x14ac:dyDescent="0.25">
      <c r="A192" s="1"/>
      <c r="B192" s="1"/>
      <c r="C192" s="1"/>
      <c r="D192" s="1"/>
      <c r="E192">
        <f>IFERROR(SUMIFS('Stock Received'!$F:$F,'Stock Received'!$D:$D,$A192,'Stock Received'!$E:$E,$C192),0)</f>
        <v>0</v>
      </c>
      <c r="F192">
        <f>IFERROR(SUMIFS('Arrangement Tracker'!$F:$F,'Arrangement Tracker'!$D:$D,$A192,'Arrangement Tracker'!$E:$E,$C192),0)</f>
        <v>0</v>
      </c>
      <c r="G192">
        <f>IFERROR(SUMIFS('Losses &amp; Damages'!$E:$E,'Losses &amp; Damages'!$C:$C,$A192,'Losses &amp; Damages'!$D:$D,$C192),0)</f>
        <v>0</v>
      </c>
      <c r="H192">
        <f t="shared" si="2"/>
        <v>0</v>
      </c>
    </row>
    <row r="193" spans="1:8" x14ac:dyDescent="0.25">
      <c r="A193" s="1"/>
      <c r="B193" s="1"/>
      <c r="C193" s="1"/>
      <c r="D193" s="1"/>
      <c r="E193">
        <f>IFERROR(SUMIFS('Stock Received'!$F:$F,'Stock Received'!$D:$D,$A193,'Stock Received'!$E:$E,$C193),0)</f>
        <v>0</v>
      </c>
      <c r="F193">
        <f>IFERROR(SUMIFS('Arrangement Tracker'!$F:$F,'Arrangement Tracker'!$D:$D,$A193,'Arrangement Tracker'!$E:$E,$C193),0)</f>
        <v>0</v>
      </c>
      <c r="G193">
        <f>IFERROR(SUMIFS('Losses &amp; Damages'!$E:$E,'Losses &amp; Damages'!$C:$C,$A193,'Losses &amp; Damages'!$D:$D,$C193),0)</f>
        <v>0</v>
      </c>
      <c r="H193">
        <f t="shared" si="2"/>
        <v>0</v>
      </c>
    </row>
    <row r="194" spans="1:8" x14ac:dyDescent="0.25">
      <c r="A194" s="1"/>
      <c r="B194" s="1"/>
      <c r="C194" s="1"/>
      <c r="D194" s="1"/>
      <c r="E194">
        <f>IFERROR(SUMIFS('Stock Received'!$F:$F,'Stock Received'!$D:$D,$A194,'Stock Received'!$E:$E,$C194),0)</f>
        <v>0</v>
      </c>
      <c r="F194">
        <f>IFERROR(SUMIFS('Arrangement Tracker'!$F:$F,'Arrangement Tracker'!$D:$D,$A194,'Arrangement Tracker'!$E:$E,$C194),0)</f>
        <v>0</v>
      </c>
      <c r="G194">
        <f>IFERROR(SUMIFS('Losses &amp; Damages'!$E:$E,'Losses &amp; Damages'!$C:$C,$A194,'Losses &amp; Damages'!$D:$D,$C194),0)</f>
        <v>0</v>
      </c>
      <c r="H194">
        <f t="shared" ref="H194:H257" si="3">IFERROR(D194+E194-F194-G194,0)</f>
        <v>0</v>
      </c>
    </row>
    <row r="195" spans="1:8" x14ac:dyDescent="0.25">
      <c r="A195" s="1"/>
      <c r="B195" s="1"/>
      <c r="C195" s="1"/>
      <c r="D195" s="1"/>
      <c r="E195">
        <f>IFERROR(SUMIFS('Stock Received'!$F:$F,'Stock Received'!$D:$D,$A195,'Stock Received'!$E:$E,$C195),0)</f>
        <v>0</v>
      </c>
      <c r="F195">
        <f>IFERROR(SUMIFS('Arrangement Tracker'!$F:$F,'Arrangement Tracker'!$D:$D,$A195,'Arrangement Tracker'!$E:$E,$C195),0)</f>
        <v>0</v>
      </c>
      <c r="G195">
        <f>IFERROR(SUMIFS('Losses &amp; Damages'!$E:$E,'Losses &amp; Damages'!$C:$C,$A195,'Losses &amp; Damages'!$D:$D,$C195),0)</f>
        <v>0</v>
      </c>
      <c r="H195">
        <f t="shared" si="3"/>
        <v>0</v>
      </c>
    </row>
    <row r="196" spans="1:8" x14ac:dyDescent="0.25">
      <c r="A196" s="1"/>
      <c r="B196" s="1"/>
      <c r="C196" s="1"/>
      <c r="D196" s="1"/>
      <c r="E196">
        <f>IFERROR(SUMIFS('Stock Received'!$F:$F,'Stock Received'!$D:$D,$A196,'Stock Received'!$E:$E,$C196),0)</f>
        <v>0</v>
      </c>
      <c r="F196">
        <f>IFERROR(SUMIFS('Arrangement Tracker'!$F:$F,'Arrangement Tracker'!$D:$D,$A196,'Arrangement Tracker'!$E:$E,$C196),0)</f>
        <v>0</v>
      </c>
      <c r="G196">
        <f>IFERROR(SUMIFS('Losses &amp; Damages'!$E:$E,'Losses &amp; Damages'!$C:$C,$A196,'Losses &amp; Damages'!$D:$D,$C196),0)</f>
        <v>0</v>
      </c>
      <c r="H196">
        <f t="shared" si="3"/>
        <v>0</v>
      </c>
    </row>
    <row r="197" spans="1:8" x14ac:dyDescent="0.25">
      <c r="A197" s="1"/>
      <c r="B197" s="1"/>
      <c r="C197" s="1"/>
      <c r="D197" s="1"/>
      <c r="E197">
        <f>IFERROR(SUMIFS('Stock Received'!$F:$F,'Stock Received'!$D:$D,$A197,'Stock Received'!$E:$E,$C197),0)</f>
        <v>0</v>
      </c>
      <c r="F197">
        <f>IFERROR(SUMIFS('Arrangement Tracker'!$F:$F,'Arrangement Tracker'!$D:$D,$A197,'Arrangement Tracker'!$E:$E,$C197),0)</f>
        <v>0</v>
      </c>
      <c r="G197">
        <f>IFERROR(SUMIFS('Losses &amp; Damages'!$E:$E,'Losses &amp; Damages'!$C:$C,$A197,'Losses &amp; Damages'!$D:$D,$C197),0)</f>
        <v>0</v>
      </c>
      <c r="H197">
        <f t="shared" si="3"/>
        <v>0</v>
      </c>
    </row>
    <row r="198" spans="1:8" x14ac:dyDescent="0.25">
      <c r="A198" s="1"/>
      <c r="B198" s="1"/>
      <c r="C198" s="1"/>
      <c r="D198" s="1"/>
      <c r="E198">
        <f>IFERROR(SUMIFS('Stock Received'!$F:$F,'Stock Received'!$D:$D,$A198,'Stock Received'!$E:$E,$C198),0)</f>
        <v>0</v>
      </c>
      <c r="F198">
        <f>IFERROR(SUMIFS('Arrangement Tracker'!$F:$F,'Arrangement Tracker'!$D:$D,$A198,'Arrangement Tracker'!$E:$E,$C198),0)</f>
        <v>0</v>
      </c>
      <c r="G198">
        <f>IFERROR(SUMIFS('Losses &amp; Damages'!$E:$E,'Losses &amp; Damages'!$C:$C,$A198,'Losses &amp; Damages'!$D:$D,$C198),0)</f>
        <v>0</v>
      </c>
      <c r="H198">
        <f t="shared" si="3"/>
        <v>0</v>
      </c>
    </row>
    <row r="199" spans="1:8" x14ac:dyDescent="0.25">
      <c r="A199" s="1"/>
      <c r="B199" s="1"/>
      <c r="C199" s="1"/>
      <c r="D199" s="1"/>
      <c r="E199">
        <f>IFERROR(SUMIFS('Stock Received'!$F:$F,'Stock Received'!$D:$D,$A199,'Stock Received'!$E:$E,$C199),0)</f>
        <v>0</v>
      </c>
      <c r="F199">
        <f>IFERROR(SUMIFS('Arrangement Tracker'!$F:$F,'Arrangement Tracker'!$D:$D,$A199,'Arrangement Tracker'!$E:$E,$C199),0)</f>
        <v>0</v>
      </c>
      <c r="G199">
        <f>IFERROR(SUMIFS('Losses &amp; Damages'!$E:$E,'Losses &amp; Damages'!$C:$C,$A199,'Losses &amp; Damages'!$D:$D,$C199),0)</f>
        <v>0</v>
      </c>
      <c r="H199">
        <f t="shared" si="3"/>
        <v>0</v>
      </c>
    </row>
    <row r="200" spans="1:8" x14ac:dyDescent="0.25">
      <c r="A200" s="1"/>
      <c r="B200" s="1"/>
      <c r="C200" s="1"/>
      <c r="D200" s="1"/>
      <c r="E200">
        <f>IFERROR(SUMIFS('Stock Received'!$F:$F,'Stock Received'!$D:$D,$A200,'Stock Received'!$E:$E,$C200),0)</f>
        <v>0</v>
      </c>
      <c r="F200">
        <f>IFERROR(SUMIFS('Arrangement Tracker'!$F:$F,'Arrangement Tracker'!$D:$D,$A200,'Arrangement Tracker'!$E:$E,$C200),0)</f>
        <v>0</v>
      </c>
      <c r="G200">
        <f>IFERROR(SUMIFS('Losses &amp; Damages'!$E:$E,'Losses &amp; Damages'!$C:$C,$A200,'Losses &amp; Damages'!$D:$D,$C200),0)</f>
        <v>0</v>
      </c>
      <c r="H200">
        <f t="shared" si="3"/>
        <v>0</v>
      </c>
    </row>
    <row r="201" spans="1:8" x14ac:dyDescent="0.25">
      <c r="A201" s="1"/>
      <c r="B201" s="1"/>
      <c r="C201" s="1"/>
      <c r="D201" s="1"/>
      <c r="E201">
        <f>IFERROR(SUMIFS('Stock Received'!$F:$F,'Stock Received'!$D:$D,$A201,'Stock Received'!$E:$E,$C201),0)</f>
        <v>0</v>
      </c>
      <c r="F201">
        <f>IFERROR(SUMIFS('Arrangement Tracker'!$F:$F,'Arrangement Tracker'!$D:$D,$A201,'Arrangement Tracker'!$E:$E,$C201),0)</f>
        <v>0</v>
      </c>
      <c r="G201">
        <f>IFERROR(SUMIFS('Losses &amp; Damages'!$E:$E,'Losses &amp; Damages'!$C:$C,$A201,'Losses &amp; Damages'!$D:$D,$C201),0)</f>
        <v>0</v>
      </c>
      <c r="H201">
        <f t="shared" si="3"/>
        <v>0</v>
      </c>
    </row>
    <row r="202" spans="1:8" x14ac:dyDescent="0.25">
      <c r="A202" s="1"/>
      <c r="B202" s="1"/>
      <c r="C202" s="1"/>
      <c r="D202" s="1"/>
      <c r="E202">
        <f>IFERROR(SUMIFS('Stock Received'!$F:$F,'Stock Received'!$D:$D,$A202,'Stock Received'!$E:$E,$C202),0)</f>
        <v>0</v>
      </c>
      <c r="F202">
        <f>IFERROR(SUMIFS('Arrangement Tracker'!$F:$F,'Arrangement Tracker'!$D:$D,$A202,'Arrangement Tracker'!$E:$E,$C202),0)</f>
        <v>0</v>
      </c>
      <c r="G202">
        <f>IFERROR(SUMIFS('Losses &amp; Damages'!$E:$E,'Losses &amp; Damages'!$C:$C,$A202,'Losses &amp; Damages'!$D:$D,$C202),0)</f>
        <v>0</v>
      </c>
      <c r="H202">
        <f t="shared" si="3"/>
        <v>0</v>
      </c>
    </row>
    <row r="203" spans="1:8" x14ac:dyDescent="0.25">
      <c r="A203" s="1"/>
      <c r="B203" s="1"/>
      <c r="C203" s="1"/>
      <c r="D203" s="1"/>
      <c r="E203">
        <f>IFERROR(SUMIFS('Stock Received'!$F:$F,'Stock Received'!$D:$D,$A203,'Stock Received'!$E:$E,$C203),0)</f>
        <v>0</v>
      </c>
      <c r="F203">
        <f>IFERROR(SUMIFS('Arrangement Tracker'!$F:$F,'Arrangement Tracker'!$D:$D,$A203,'Arrangement Tracker'!$E:$E,$C203),0)</f>
        <v>0</v>
      </c>
      <c r="G203">
        <f>IFERROR(SUMIFS('Losses &amp; Damages'!$E:$E,'Losses &amp; Damages'!$C:$C,$A203,'Losses &amp; Damages'!$D:$D,$C203),0)</f>
        <v>0</v>
      </c>
      <c r="H203">
        <f t="shared" si="3"/>
        <v>0</v>
      </c>
    </row>
    <row r="204" spans="1:8" x14ac:dyDescent="0.25">
      <c r="A204" s="1"/>
      <c r="B204" s="1"/>
      <c r="C204" s="1"/>
      <c r="D204" s="1"/>
      <c r="E204">
        <f>IFERROR(SUMIFS('Stock Received'!$F:$F,'Stock Received'!$D:$D,$A204,'Stock Received'!$E:$E,$C204),0)</f>
        <v>0</v>
      </c>
      <c r="F204">
        <f>IFERROR(SUMIFS('Arrangement Tracker'!$F:$F,'Arrangement Tracker'!$D:$D,$A204,'Arrangement Tracker'!$E:$E,$C204),0)</f>
        <v>0</v>
      </c>
      <c r="G204">
        <f>IFERROR(SUMIFS('Losses &amp; Damages'!$E:$E,'Losses &amp; Damages'!$C:$C,$A204,'Losses &amp; Damages'!$D:$D,$C204),0)</f>
        <v>0</v>
      </c>
      <c r="H204">
        <f t="shared" si="3"/>
        <v>0</v>
      </c>
    </row>
    <row r="205" spans="1:8" x14ac:dyDescent="0.25">
      <c r="A205" s="1"/>
      <c r="B205" s="1"/>
      <c r="C205" s="1"/>
      <c r="D205" s="1"/>
      <c r="E205">
        <f>IFERROR(SUMIFS('Stock Received'!$F:$F,'Stock Received'!$D:$D,$A205,'Stock Received'!$E:$E,$C205),0)</f>
        <v>0</v>
      </c>
      <c r="F205">
        <f>IFERROR(SUMIFS('Arrangement Tracker'!$F:$F,'Arrangement Tracker'!$D:$D,$A205,'Arrangement Tracker'!$E:$E,$C205),0)</f>
        <v>0</v>
      </c>
      <c r="G205">
        <f>IFERROR(SUMIFS('Losses &amp; Damages'!$E:$E,'Losses &amp; Damages'!$C:$C,$A205,'Losses &amp; Damages'!$D:$D,$C205),0)</f>
        <v>0</v>
      </c>
      <c r="H205">
        <f t="shared" si="3"/>
        <v>0</v>
      </c>
    </row>
    <row r="206" spans="1:8" x14ac:dyDescent="0.25">
      <c r="A206" s="1"/>
      <c r="B206" s="1"/>
      <c r="C206" s="1"/>
      <c r="D206" s="1"/>
      <c r="E206">
        <f>IFERROR(SUMIFS('Stock Received'!$F:$F,'Stock Received'!$D:$D,$A206,'Stock Received'!$E:$E,$C206),0)</f>
        <v>0</v>
      </c>
      <c r="F206">
        <f>IFERROR(SUMIFS('Arrangement Tracker'!$F:$F,'Arrangement Tracker'!$D:$D,$A206,'Arrangement Tracker'!$E:$E,$C206),0)</f>
        <v>0</v>
      </c>
      <c r="G206">
        <f>IFERROR(SUMIFS('Losses &amp; Damages'!$E:$E,'Losses &amp; Damages'!$C:$C,$A206,'Losses &amp; Damages'!$D:$D,$C206),0)</f>
        <v>0</v>
      </c>
      <c r="H206">
        <f t="shared" si="3"/>
        <v>0</v>
      </c>
    </row>
    <row r="207" spans="1:8" x14ac:dyDescent="0.25">
      <c r="A207" s="1"/>
      <c r="B207" s="1"/>
      <c r="C207" s="1"/>
      <c r="D207" s="1"/>
      <c r="E207">
        <f>IFERROR(SUMIFS('Stock Received'!$F:$F,'Stock Received'!$D:$D,$A207,'Stock Received'!$E:$E,$C207),0)</f>
        <v>0</v>
      </c>
      <c r="F207">
        <f>IFERROR(SUMIFS('Arrangement Tracker'!$F:$F,'Arrangement Tracker'!$D:$D,$A207,'Arrangement Tracker'!$E:$E,$C207),0)</f>
        <v>0</v>
      </c>
      <c r="G207">
        <f>IFERROR(SUMIFS('Losses &amp; Damages'!$E:$E,'Losses &amp; Damages'!$C:$C,$A207,'Losses &amp; Damages'!$D:$D,$C207),0)</f>
        <v>0</v>
      </c>
      <c r="H207">
        <f t="shared" si="3"/>
        <v>0</v>
      </c>
    </row>
    <row r="208" spans="1:8" x14ac:dyDescent="0.25">
      <c r="A208" s="1"/>
      <c r="B208" s="1"/>
      <c r="C208" s="1"/>
      <c r="D208" s="1"/>
      <c r="E208">
        <f>IFERROR(SUMIFS('Stock Received'!$F:$F,'Stock Received'!$D:$D,$A208,'Stock Received'!$E:$E,$C208),0)</f>
        <v>0</v>
      </c>
      <c r="F208">
        <f>IFERROR(SUMIFS('Arrangement Tracker'!$F:$F,'Arrangement Tracker'!$D:$D,$A208,'Arrangement Tracker'!$E:$E,$C208),0)</f>
        <v>0</v>
      </c>
      <c r="G208">
        <f>IFERROR(SUMIFS('Losses &amp; Damages'!$E:$E,'Losses &amp; Damages'!$C:$C,$A208,'Losses &amp; Damages'!$D:$D,$C208),0)</f>
        <v>0</v>
      </c>
      <c r="H208">
        <f t="shared" si="3"/>
        <v>0</v>
      </c>
    </row>
    <row r="209" spans="1:8" x14ac:dyDescent="0.25">
      <c r="A209" s="1"/>
      <c r="B209" s="1"/>
      <c r="C209" s="1"/>
      <c r="D209" s="1"/>
      <c r="E209">
        <f>IFERROR(SUMIFS('Stock Received'!$F:$F,'Stock Received'!$D:$D,$A209,'Stock Received'!$E:$E,$C209),0)</f>
        <v>0</v>
      </c>
      <c r="F209">
        <f>IFERROR(SUMIFS('Arrangement Tracker'!$F:$F,'Arrangement Tracker'!$D:$D,$A209,'Arrangement Tracker'!$E:$E,$C209),0)</f>
        <v>0</v>
      </c>
      <c r="G209">
        <f>IFERROR(SUMIFS('Losses &amp; Damages'!$E:$E,'Losses &amp; Damages'!$C:$C,$A209,'Losses &amp; Damages'!$D:$D,$C209),0)</f>
        <v>0</v>
      </c>
      <c r="H209">
        <f t="shared" si="3"/>
        <v>0</v>
      </c>
    </row>
    <row r="210" spans="1:8" x14ac:dyDescent="0.25">
      <c r="A210" s="1"/>
      <c r="B210" s="1"/>
      <c r="C210" s="1"/>
      <c r="D210" s="1"/>
      <c r="E210">
        <f>IFERROR(SUMIFS('Stock Received'!$F:$F,'Stock Received'!$D:$D,$A210,'Stock Received'!$E:$E,$C210),0)</f>
        <v>0</v>
      </c>
      <c r="F210">
        <f>IFERROR(SUMIFS('Arrangement Tracker'!$F:$F,'Arrangement Tracker'!$D:$D,$A210,'Arrangement Tracker'!$E:$E,$C210),0)</f>
        <v>0</v>
      </c>
      <c r="G210">
        <f>IFERROR(SUMIFS('Losses &amp; Damages'!$E:$E,'Losses &amp; Damages'!$C:$C,$A210,'Losses &amp; Damages'!$D:$D,$C210),0)</f>
        <v>0</v>
      </c>
      <c r="H210">
        <f t="shared" si="3"/>
        <v>0</v>
      </c>
    </row>
    <row r="211" spans="1:8" x14ac:dyDescent="0.25">
      <c r="A211" s="1"/>
      <c r="B211" s="1"/>
      <c r="C211" s="1"/>
      <c r="D211" s="1"/>
      <c r="E211">
        <f>IFERROR(SUMIFS('Stock Received'!$F:$F,'Stock Received'!$D:$D,$A211,'Stock Received'!$E:$E,$C211),0)</f>
        <v>0</v>
      </c>
      <c r="F211">
        <f>IFERROR(SUMIFS('Arrangement Tracker'!$F:$F,'Arrangement Tracker'!$D:$D,$A211,'Arrangement Tracker'!$E:$E,$C211),0)</f>
        <v>0</v>
      </c>
      <c r="G211">
        <f>IFERROR(SUMIFS('Losses &amp; Damages'!$E:$E,'Losses &amp; Damages'!$C:$C,$A211,'Losses &amp; Damages'!$D:$D,$C211),0)</f>
        <v>0</v>
      </c>
      <c r="H211">
        <f t="shared" si="3"/>
        <v>0</v>
      </c>
    </row>
    <row r="212" spans="1:8" x14ac:dyDescent="0.25">
      <c r="A212" s="1"/>
      <c r="B212" s="1"/>
      <c r="C212" s="1"/>
      <c r="D212" s="1"/>
      <c r="E212">
        <f>IFERROR(SUMIFS('Stock Received'!$F:$F,'Stock Received'!$D:$D,$A212,'Stock Received'!$E:$E,$C212),0)</f>
        <v>0</v>
      </c>
      <c r="F212">
        <f>IFERROR(SUMIFS('Arrangement Tracker'!$F:$F,'Arrangement Tracker'!$D:$D,$A212,'Arrangement Tracker'!$E:$E,$C212),0)</f>
        <v>0</v>
      </c>
      <c r="G212">
        <f>IFERROR(SUMIFS('Losses &amp; Damages'!$E:$E,'Losses &amp; Damages'!$C:$C,$A212,'Losses &amp; Damages'!$D:$D,$C212),0)</f>
        <v>0</v>
      </c>
      <c r="H212">
        <f t="shared" si="3"/>
        <v>0</v>
      </c>
    </row>
    <row r="213" spans="1:8" x14ac:dyDescent="0.25">
      <c r="A213" s="1"/>
      <c r="B213" s="1"/>
      <c r="C213" s="1"/>
      <c r="D213" s="1"/>
      <c r="E213">
        <f>IFERROR(SUMIFS('Stock Received'!$F:$F,'Stock Received'!$D:$D,$A213,'Stock Received'!$E:$E,$C213),0)</f>
        <v>0</v>
      </c>
      <c r="F213">
        <f>IFERROR(SUMIFS('Arrangement Tracker'!$F:$F,'Arrangement Tracker'!$D:$D,$A213,'Arrangement Tracker'!$E:$E,$C213),0)</f>
        <v>0</v>
      </c>
      <c r="G213">
        <f>IFERROR(SUMIFS('Losses &amp; Damages'!$E:$E,'Losses &amp; Damages'!$C:$C,$A213,'Losses &amp; Damages'!$D:$D,$C213),0)</f>
        <v>0</v>
      </c>
      <c r="H213">
        <f t="shared" si="3"/>
        <v>0</v>
      </c>
    </row>
    <row r="214" spans="1:8" x14ac:dyDescent="0.25">
      <c r="A214" s="1"/>
      <c r="B214" s="1"/>
      <c r="C214" s="1"/>
      <c r="D214" s="1"/>
      <c r="E214">
        <f>IFERROR(SUMIFS('Stock Received'!$F:$F,'Stock Received'!$D:$D,$A214,'Stock Received'!$E:$E,$C214),0)</f>
        <v>0</v>
      </c>
      <c r="F214">
        <f>IFERROR(SUMIFS('Arrangement Tracker'!$F:$F,'Arrangement Tracker'!$D:$D,$A214,'Arrangement Tracker'!$E:$E,$C214),0)</f>
        <v>0</v>
      </c>
      <c r="G214">
        <f>IFERROR(SUMIFS('Losses &amp; Damages'!$E:$E,'Losses &amp; Damages'!$C:$C,$A214,'Losses &amp; Damages'!$D:$D,$C214),0)</f>
        <v>0</v>
      </c>
      <c r="H214">
        <f t="shared" si="3"/>
        <v>0</v>
      </c>
    </row>
    <row r="215" spans="1:8" x14ac:dyDescent="0.25">
      <c r="A215" s="1"/>
      <c r="B215" s="1"/>
      <c r="C215" s="1"/>
      <c r="D215" s="1"/>
      <c r="E215">
        <f>IFERROR(SUMIFS('Stock Received'!$F:$F,'Stock Received'!$D:$D,$A215,'Stock Received'!$E:$E,$C215),0)</f>
        <v>0</v>
      </c>
      <c r="F215">
        <f>IFERROR(SUMIFS('Arrangement Tracker'!$F:$F,'Arrangement Tracker'!$D:$D,$A215,'Arrangement Tracker'!$E:$E,$C215),0)</f>
        <v>0</v>
      </c>
      <c r="G215">
        <f>IFERROR(SUMIFS('Losses &amp; Damages'!$E:$E,'Losses &amp; Damages'!$C:$C,$A215,'Losses &amp; Damages'!$D:$D,$C215),0)</f>
        <v>0</v>
      </c>
      <c r="H215">
        <f t="shared" si="3"/>
        <v>0</v>
      </c>
    </row>
    <row r="216" spans="1:8" x14ac:dyDescent="0.25">
      <c r="A216" s="1"/>
      <c r="B216" s="1"/>
      <c r="C216" s="1"/>
      <c r="D216" s="1"/>
      <c r="E216">
        <f>IFERROR(SUMIFS('Stock Received'!$F:$F,'Stock Received'!$D:$D,$A216,'Stock Received'!$E:$E,$C216),0)</f>
        <v>0</v>
      </c>
      <c r="F216">
        <f>IFERROR(SUMIFS('Arrangement Tracker'!$F:$F,'Arrangement Tracker'!$D:$D,$A216,'Arrangement Tracker'!$E:$E,$C216),0)</f>
        <v>0</v>
      </c>
      <c r="G216">
        <f>IFERROR(SUMIFS('Losses &amp; Damages'!$E:$E,'Losses &amp; Damages'!$C:$C,$A216,'Losses &amp; Damages'!$D:$D,$C216),0)</f>
        <v>0</v>
      </c>
      <c r="H216">
        <f t="shared" si="3"/>
        <v>0</v>
      </c>
    </row>
    <row r="217" spans="1:8" x14ac:dyDescent="0.25">
      <c r="A217" s="1"/>
      <c r="B217" s="1"/>
      <c r="C217" s="1"/>
      <c r="D217" s="1"/>
      <c r="E217">
        <f>IFERROR(SUMIFS('Stock Received'!$F:$F,'Stock Received'!$D:$D,$A217,'Stock Received'!$E:$E,$C217),0)</f>
        <v>0</v>
      </c>
      <c r="F217">
        <f>IFERROR(SUMIFS('Arrangement Tracker'!$F:$F,'Arrangement Tracker'!$D:$D,$A217,'Arrangement Tracker'!$E:$E,$C217),0)</f>
        <v>0</v>
      </c>
      <c r="G217">
        <f>IFERROR(SUMIFS('Losses &amp; Damages'!$E:$E,'Losses &amp; Damages'!$C:$C,$A217,'Losses &amp; Damages'!$D:$D,$C217),0)</f>
        <v>0</v>
      </c>
      <c r="H217">
        <f t="shared" si="3"/>
        <v>0</v>
      </c>
    </row>
    <row r="218" spans="1:8" x14ac:dyDescent="0.25">
      <c r="A218" s="1"/>
      <c r="B218" s="1"/>
      <c r="C218" s="1"/>
      <c r="D218" s="1"/>
      <c r="E218">
        <f>IFERROR(SUMIFS('Stock Received'!$F:$F,'Stock Received'!$D:$D,$A218,'Stock Received'!$E:$E,$C218),0)</f>
        <v>0</v>
      </c>
      <c r="F218">
        <f>IFERROR(SUMIFS('Arrangement Tracker'!$F:$F,'Arrangement Tracker'!$D:$D,$A218,'Arrangement Tracker'!$E:$E,$C218),0)</f>
        <v>0</v>
      </c>
      <c r="G218">
        <f>IFERROR(SUMIFS('Losses &amp; Damages'!$E:$E,'Losses &amp; Damages'!$C:$C,$A218,'Losses &amp; Damages'!$D:$D,$C218),0)</f>
        <v>0</v>
      </c>
      <c r="H218">
        <f t="shared" si="3"/>
        <v>0</v>
      </c>
    </row>
    <row r="219" spans="1:8" x14ac:dyDescent="0.25">
      <c r="A219" s="1"/>
      <c r="B219" s="1"/>
      <c r="C219" s="1"/>
      <c r="D219" s="1"/>
      <c r="E219">
        <f>IFERROR(SUMIFS('Stock Received'!$F:$F,'Stock Received'!$D:$D,$A219,'Stock Received'!$E:$E,$C219),0)</f>
        <v>0</v>
      </c>
      <c r="F219">
        <f>IFERROR(SUMIFS('Arrangement Tracker'!$F:$F,'Arrangement Tracker'!$D:$D,$A219,'Arrangement Tracker'!$E:$E,$C219),0)</f>
        <v>0</v>
      </c>
      <c r="G219">
        <f>IFERROR(SUMIFS('Losses &amp; Damages'!$E:$E,'Losses &amp; Damages'!$C:$C,$A219,'Losses &amp; Damages'!$D:$D,$C219),0)</f>
        <v>0</v>
      </c>
      <c r="H219">
        <f t="shared" si="3"/>
        <v>0</v>
      </c>
    </row>
    <row r="220" spans="1:8" x14ac:dyDescent="0.25">
      <c r="A220" s="1"/>
      <c r="B220" s="1"/>
      <c r="C220" s="1"/>
      <c r="D220" s="1"/>
      <c r="E220">
        <f>IFERROR(SUMIFS('Stock Received'!$F:$F,'Stock Received'!$D:$D,$A220,'Stock Received'!$E:$E,$C220),0)</f>
        <v>0</v>
      </c>
      <c r="F220">
        <f>IFERROR(SUMIFS('Arrangement Tracker'!$F:$F,'Arrangement Tracker'!$D:$D,$A220,'Arrangement Tracker'!$E:$E,$C220),0)</f>
        <v>0</v>
      </c>
      <c r="G220">
        <f>IFERROR(SUMIFS('Losses &amp; Damages'!$E:$E,'Losses &amp; Damages'!$C:$C,$A220,'Losses &amp; Damages'!$D:$D,$C220),0)</f>
        <v>0</v>
      </c>
      <c r="H220">
        <f t="shared" si="3"/>
        <v>0</v>
      </c>
    </row>
    <row r="221" spans="1:8" x14ac:dyDescent="0.25">
      <c r="A221" s="1"/>
      <c r="B221" s="1"/>
      <c r="C221" s="1"/>
      <c r="D221" s="1"/>
      <c r="E221">
        <f>IFERROR(SUMIFS('Stock Received'!$F:$F,'Stock Received'!$D:$D,$A221,'Stock Received'!$E:$E,$C221),0)</f>
        <v>0</v>
      </c>
      <c r="F221">
        <f>IFERROR(SUMIFS('Arrangement Tracker'!$F:$F,'Arrangement Tracker'!$D:$D,$A221,'Arrangement Tracker'!$E:$E,$C221),0)</f>
        <v>0</v>
      </c>
      <c r="G221">
        <f>IFERROR(SUMIFS('Losses &amp; Damages'!$E:$E,'Losses &amp; Damages'!$C:$C,$A221,'Losses &amp; Damages'!$D:$D,$C221),0)</f>
        <v>0</v>
      </c>
      <c r="H221">
        <f t="shared" si="3"/>
        <v>0</v>
      </c>
    </row>
    <row r="222" spans="1:8" x14ac:dyDescent="0.25">
      <c r="A222" s="1"/>
      <c r="B222" s="1"/>
      <c r="C222" s="1"/>
      <c r="D222" s="1"/>
      <c r="E222">
        <f>IFERROR(SUMIFS('Stock Received'!$F:$F,'Stock Received'!$D:$D,$A222,'Stock Received'!$E:$E,$C222),0)</f>
        <v>0</v>
      </c>
      <c r="F222">
        <f>IFERROR(SUMIFS('Arrangement Tracker'!$F:$F,'Arrangement Tracker'!$D:$D,$A222,'Arrangement Tracker'!$E:$E,$C222),0)</f>
        <v>0</v>
      </c>
      <c r="G222">
        <f>IFERROR(SUMIFS('Losses &amp; Damages'!$E:$E,'Losses &amp; Damages'!$C:$C,$A222,'Losses &amp; Damages'!$D:$D,$C222),0)</f>
        <v>0</v>
      </c>
      <c r="H222">
        <f t="shared" si="3"/>
        <v>0</v>
      </c>
    </row>
    <row r="223" spans="1:8" x14ac:dyDescent="0.25">
      <c r="A223" s="1"/>
      <c r="B223" s="1"/>
      <c r="C223" s="1"/>
      <c r="D223" s="1"/>
      <c r="E223">
        <f>IFERROR(SUMIFS('Stock Received'!$F:$F,'Stock Received'!$D:$D,$A223,'Stock Received'!$E:$E,$C223),0)</f>
        <v>0</v>
      </c>
      <c r="F223">
        <f>IFERROR(SUMIFS('Arrangement Tracker'!$F:$F,'Arrangement Tracker'!$D:$D,$A223,'Arrangement Tracker'!$E:$E,$C223),0)</f>
        <v>0</v>
      </c>
      <c r="G223">
        <f>IFERROR(SUMIFS('Losses &amp; Damages'!$E:$E,'Losses &amp; Damages'!$C:$C,$A223,'Losses &amp; Damages'!$D:$D,$C223),0)</f>
        <v>0</v>
      </c>
      <c r="H223">
        <f t="shared" si="3"/>
        <v>0</v>
      </c>
    </row>
    <row r="224" spans="1:8" x14ac:dyDescent="0.25">
      <c r="A224" s="1"/>
      <c r="B224" s="1"/>
      <c r="C224" s="1"/>
      <c r="D224" s="1"/>
      <c r="E224">
        <f>IFERROR(SUMIFS('Stock Received'!$F:$F,'Stock Received'!$D:$D,$A224,'Stock Received'!$E:$E,$C224),0)</f>
        <v>0</v>
      </c>
      <c r="F224">
        <f>IFERROR(SUMIFS('Arrangement Tracker'!$F:$F,'Arrangement Tracker'!$D:$D,$A224,'Arrangement Tracker'!$E:$E,$C224),0)</f>
        <v>0</v>
      </c>
      <c r="G224">
        <f>IFERROR(SUMIFS('Losses &amp; Damages'!$E:$E,'Losses &amp; Damages'!$C:$C,$A224,'Losses &amp; Damages'!$D:$D,$C224),0)</f>
        <v>0</v>
      </c>
      <c r="H224">
        <f t="shared" si="3"/>
        <v>0</v>
      </c>
    </row>
    <row r="225" spans="1:8" x14ac:dyDescent="0.25">
      <c r="A225" s="1"/>
      <c r="B225" s="1"/>
      <c r="C225" s="1"/>
      <c r="D225" s="1"/>
      <c r="E225">
        <f>IFERROR(SUMIFS('Stock Received'!$F:$F,'Stock Received'!$D:$D,$A225,'Stock Received'!$E:$E,$C225),0)</f>
        <v>0</v>
      </c>
      <c r="F225">
        <f>IFERROR(SUMIFS('Arrangement Tracker'!$F:$F,'Arrangement Tracker'!$D:$D,$A225,'Arrangement Tracker'!$E:$E,$C225),0)</f>
        <v>0</v>
      </c>
      <c r="G225">
        <f>IFERROR(SUMIFS('Losses &amp; Damages'!$E:$E,'Losses &amp; Damages'!$C:$C,$A225,'Losses &amp; Damages'!$D:$D,$C225),0)</f>
        <v>0</v>
      </c>
      <c r="H225">
        <f t="shared" si="3"/>
        <v>0</v>
      </c>
    </row>
    <row r="226" spans="1:8" x14ac:dyDescent="0.25">
      <c r="A226" s="1"/>
      <c r="B226" s="1"/>
      <c r="C226" s="1"/>
      <c r="D226" s="1"/>
      <c r="E226">
        <f>IFERROR(SUMIFS('Stock Received'!$F:$F,'Stock Received'!$D:$D,$A226,'Stock Received'!$E:$E,$C226),0)</f>
        <v>0</v>
      </c>
      <c r="F226">
        <f>IFERROR(SUMIFS('Arrangement Tracker'!$F:$F,'Arrangement Tracker'!$D:$D,$A226,'Arrangement Tracker'!$E:$E,$C226),0)</f>
        <v>0</v>
      </c>
      <c r="G226">
        <f>IFERROR(SUMIFS('Losses &amp; Damages'!$E:$E,'Losses &amp; Damages'!$C:$C,$A226,'Losses &amp; Damages'!$D:$D,$C226),0)</f>
        <v>0</v>
      </c>
      <c r="H226">
        <f t="shared" si="3"/>
        <v>0</v>
      </c>
    </row>
    <row r="227" spans="1:8" x14ac:dyDescent="0.25">
      <c r="A227" s="1"/>
      <c r="B227" s="1"/>
      <c r="C227" s="1"/>
      <c r="D227" s="1"/>
      <c r="E227">
        <f>IFERROR(SUMIFS('Stock Received'!$F:$F,'Stock Received'!$D:$D,$A227,'Stock Received'!$E:$E,$C227),0)</f>
        <v>0</v>
      </c>
      <c r="F227">
        <f>IFERROR(SUMIFS('Arrangement Tracker'!$F:$F,'Arrangement Tracker'!$D:$D,$A227,'Arrangement Tracker'!$E:$E,$C227),0)</f>
        <v>0</v>
      </c>
      <c r="G227">
        <f>IFERROR(SUMIFS('Losses &amp; Damages'!$E:$E,'Losses &amp; Damages'!$C:$C,$A227,'Losses &amp; Damages'!$D:$D,$C227),0)</f>
        <v>0</v>
      </c>
      <c r="H227">
        <f t="shared" si="3"/>
        <v>0</v>
      </c>
    </row>
    <row r="228" spans="1:8" x14ac:dyDescent="0.25">
      <c r="A228" s="1"/>
      <c r="B228" s="1"/>
      <c r="C228" s="1"/>
      <c r="D228" s="1"/>
      <c r="E228">
        <f>IFERROR(SUMIFS('Stock Received'!$F:$F,'Stock Received'!$D:$D,$A228,'Stock Received'!$E:$E,$C228),0)</f>
        <v>0</v>
      </c>
      <c r="F228">
        <f>IFERROR(SUMIFS('Arrangement Tracker'!$F:$F,'Arrangement Tracker'!$D:$D,$A228,'Arrangement Tracker'!$E:$E,$C228),0)</f>
        <v>0</v>
      </c>
      <c r="G228">
        <f>IFERROR(SUMIFS('Losses &amp; Damages'!$E:$E,'Losses &amp; Damages'!$C:$C,$A228,'Losses &amp; Damages'!$D:$D,$C228),0)</f>
        <v>0</v>
      </c>
      <c r="H228">
        <f t="shared" si="3"/>
        <v>0</v>
      </c>
    </row>
    <row r="229" spans="1:8" x14ac:dyDescent="0.25">
      <c r="A229" s="1"/>
      <c r="B229" s="1"/>
      <c r="C229" s="1"/>
      <c r="D229" s="1"/>
      <c r="E229">
        <f>IFERROR(SUMIFS('Stock Received'!$F:$F,'Stock Received'!$D:$D,$A229,'Stock Received'!$E:$E,$C229),0)</f>
        <v>0</v>
      </c>
      <c r="F229">
        <f>IFERROR(SUMIFS('Arrangement Tracker'!$F:$F,'Arrangement Tracker'!$D:$D,$A229,'Arrangement Tracker'!$E:$E,$C229),0)</f>
        <v>0</v>
      </c>
      <c r="G229">
        <f>IFERROR(SUMIFS('Losses &amp; Damages'!$E:$E,'Losses &amp; Damages'!$C:$C,$A229,'Losses &amp; Damages'!$D:$D,$C229),0)</f>
        <v>0</v>
      </c>
      <c r="H229">
        <f t="shared" si="3"/>
        <v>0</v>
      </c>
    </row>
    <row r="230" spans="1:8" x14ac:dyDescent="0.25">
      <c r="A230" s="1"/>
      <c r="B230" s="1"/>
      <c r="C230" s="1"/>
      <c r="D230" s="1"/>
      <c r="E230">
        <f>IFERROR(SUMIFS('Stock Received'!$F:$F,'Stock Received'!$D:$D,$A230,'Stock Received'!$E:$E,$C230),0)</f>
        <v>0</v>
      </c>
      <c r="F230">
        <f>IFERROR(SUMIFS('Arrangement Tracker'!$F:$F,'Arrangement Tracker'!$D:$D,$A230,'Arrangement Tracker'!$E:$E,$C230),0)</f>
        <v>0</v>
      </c>
      <c r="G230">
        <f>IFERROR(SUMIFS('Losses &amp; Damages'!$E:$E,'Losses &amp; Damages'!$C:$C,$A230,'Losses &amp; Damages'!$D:$D,$C230),0)</f>
        <v>0</v>
      </c>
      <c r="H230">
        <f t="shared" si="3"/>
        <v>0</v>
      </c>
    </row>
    <row r="231" spans="1:8" x14ac:dyDescent="0.25">
      <c r="A231" s="1"/>
      <c r="B231" s="1"/>
      <c r="C231" s="1"/>
      <c r="D231" s="1"/>
      <c r="E231">
        <f>IFERROR(SUMIFS('Stock Received'!$F:$F,'Stock Received'!$D:$D,$A231,'Stock Received'!$E:$E,$C231),0)</f>
        <v>0</v>
      </c>
      <c r="F231">
        <f>IFERROR(SUMIFS('Arrangement Tracker'!$F:$F,'Arrangement Tracker'!$D:$D,$A231,'Arrangement Tracker'!$E:$E,$C231),0)</f>
        <v>0</v>
      </c>
      <c r="G231">
        <f>IFERROR(SUMIFS('Losses &amp; Damages'!$E:$E,'Losses &amp; Damages'!$C:$C,$A231,'Losses &amp; Damages'!$D:$D,$C231),0)</f>
        <v>0</v>
      </c>
      <c r="H231">
        <f t="shared" si="3"/>
        <v>0</v>
      </c>
    </row>
    <row r="232" spans="1:8" x14ac:dyDescent="0.25">
      <c r="A232" s="1"/>
      <c r="B232" s="1"/>
      <c r="C232" s="1"/>
      <c r="D232" s="1"/>
      <c r="E232">
        <f>IFERROR(SUMIFS('Stock Received'!$F:$F,'Stock Received'!$D:$D,$A232,'Stock Received'!$E:$E,$C232),0)</f>
        <v>0</v>
      </c>
      <c r="F232">
        <f>IFERROR(SUMIFS('Arrangement Tracker'!$F:$F,'Arrangement Tracker'!$D:$D,$A232,'Arrangement Tracker'!$E:$E,$C232),0)</f>
        <v>0</v>
      </c>
      <c r="G232">
        <f>IFERROR(SUMIFS('Losses &amp; Damages'!$E:$E,'Losses &amp; Damages'!$C:$C,$A232,'Losses &amp; Damages'!$D:$D,$C232),0)</f>
        <v>0</v>
      </c>
      <c r="H232">
        <f t="shared" si="3"/>
        <v>0</v>
      </c>
    </row>
    <row r="233" spans="1:8" x14ac:dyDescent="0.25">
      <c r="A233" s="1"/>
      <c r="B233" s="1"/>
      <c r="C233" s="1"/>
      <c r="D233" s="1"/>
      <c r="E233">
        <f>IFERROR(SUMIFS('Stock Received'!$F:$F,'Stock Received'!$D:$D,$A233,'Stock Received'!$E:$E,$C233),0)</f>
        <v>0</v>
      </c>
      <c r="F233">
        <f>IFERROR(SUMIFS('Arrangement Tracker'!$F:$F,'Arrangement Tracker'!$D:$D,$A233,'Arrangement Tracker'!$E:$E,$C233),0)</f>
        <v>0</v>
      </c>
      <c r="G233">
        <f>IFERROR(SUMIFS('Losses &amp; Damages'!$E:$E,'Losses &amp; Damages'!$C:$C,$A233,'Losses &amp; Damages'!$D:$D,$C233),0)</f>
        <v>0</v>
      </c>
      <c r="H233">
        <f t="shared" si="3"/>
        <v>0</v>
      </c>
    </row>
    <row r="234" spans="1:8" x14ac:dyDescent="0.25">
      <c r="A234" s="1"/>
      <c r="B234" s="1"/>
      <c r="C234" s="1"/>
      <c r="D234" s="1"/>
      <c r="E234">
        <f>IFERROR(SUMIFS('Stock Received'!$F:$F,'Stock Received'!$D:$D,$A234,'Stock Received'!$E:$E,$C234),0)</f>
        <v>0</v>
      </c>
      <c r="F234">
        <f>IFERROR(SUMIFS('Arrangement Tracker'!$F:$F,'Arrangement Tracker'!$D:$D,$A234,'Arrangement Tracker'!$E:$E,$C234),0)</f>
        <v>0</v>
      </c>
      <c r="G234">
        <f>IFERROR(SUMIFS('Losses &amp; Damages'!$E:$E,'Losses &amp; Damages'!$C:$C,$A234,'Losses &amp; Damages'!$D:$D,$C234),0)</f>
        <v>0</v>
      </c>
      <c r="H234">
        <f t="shared" si="3"/>
        <v>0</v>
      </c>
    </row>
    <row r="235" spans="1:8" x14ac:dyDescent="0.25">
      <c r="A235" s="1"/>
      <c r="B235" s="1"/>
      <c r="C235" s="1"/>
      <c r="D235" s="1"/>
      <c r="E235">
        <f>IFERROR(SUMIFS('Stock Received'!$F:$F,'Stock Received'!$D:$D,$A235,'Stock Received'!$E:$E,$C235),0)</f>
        <v>0</v>
      </c>
      <c r="F235">
        <f>IFERROR(SUMIFS('Arrangement Tracker'!$F:$F,'Arrangement Tracker'!$D:$D,$A235,'Arrangement Tracker'!$E:$E,$C235),0)</f>
        <v>0</v>
      </c>
      <c r="G235">
        <f>IFERROR(SUMIFS('Losses &amp; Damages'!$E:$E,'Losses &amp; Damages'!$C:$C,$A235,'Losses &amp; Damages'!$D:$D,$C235),0)</f>
        <v>0</v>
      </c>
      <c r="H235">
        <f t="shared" si="3"/>
        <v>0</v>
      </c>
    </row>
    <row r="236" spans="1:8" x14ac:dyDescent="0.25">
      <c r="A236" s="1"/>
      <c r="B236" s="1"/>
      <c r="C236" s="1"/>
      <c r="D236" s="1"/>
      <c r="E236">
        <f>IFERROR(SUMIFS('Stock Received'!$F:$F,'Stock Received'!$D:$D,$A236,'Stock Received'!$E:$E,$C236),0)</f>
        <v>0</v>
      </c>
      <c r="F236">
        <f>IFERROR(SUMIFS('Arrangement Tracker'!$F:$F,'Arrangement Tracker'!$D:$D,$A236,'Arrangement Tracker'!$E:$E,$C236),0)</f>
        <v>0</v>
      </c>
      <c r="G236">
        <f>IFERROR(SUMIFS('Losses &amp; Damages'!$E:$E,'Losses &amp; Damages'!$C:$C,$A236,'Losses &amp; Damages'!$D:$D,$C236),0)</f>
        <v>0</v>
      </c>
      <c r="H236">
        <f t="shared" si="3"/>
        <v>0</v>
      </c>
    </row>
    <row r="237" spans="1:8" x14ac:dyDescent="0.25">
      <c r="A237" s="1"/>
      <c r="B237" s="1"/>
      <c r="C237" s="1"/>
      <c r="D237" s="1"/>
      <c r="E237">
        <f>IFERROR(SUMIFS('Stock Received'!$F:$F,'Stock Received'!$D:$D,$A237,'Stock Received'!$E:$E,$C237),0)</f>
        <v>0</v>
      </c>
      <c r="F237">
        <f>IFERROR(SUMIFS('Arrangement Tracker'!$F:$F,'Arrangement Tracker'!$D:$D,$A237,'Arrangement Tracker'!$E:$E,$C237),0)</f>
        <v>0</v>
      </c>
      <c r="G237">
        <f>IFERROR(SUMIFS('Losses &amp; Damages'!$E:$E,'Losses &amp; Damages'!$C:$C,$A237,'Losses &amp; Damages'!$D:$D,$C237),0)</f>
        <v>0</v>
      </c>
      <c r="H237">
        <f t="shared" si="3"/>
        <v>0</v>
      </c>
    </row>
    <row r="238" spans="1:8" x14ac:dyDescent="0.25">
      <c r="A238" s="1"/>
      <c r="B238" s="1"/>
      <c r="C238" s="1"/>
      <c r="D238" s="1"/>
      <c r="E238">
        <f>IFERROR(SUMIFS('Stock Received'!$F:$F,'Stock Received'!$D:$D,$A238,'Stock Received'!$E:$E,$C238),0)</f>
        <v>0</v>
      </c>
      <c r="F238">
        <f>IFERROR(SUMIFS('Arrangement Tracker'!$F:$F,'Arrangement Tracker'!$D:$D,$A238,'Arrangement Tracker'!$E:$E,$C238),0)</f>
        <v>0</v>
      </c>
      <c r="G238">
        <f>IFERROR(SUMIFS('Losses &amp; Damages'!$E:$E,'Losses &amp; Damages'!$C:$C,$A238,'Losses &amp; Damages'!$D:$D,$C238),0)</f>
        <v>0</v>
      </c>
      <c r="H238">
        <f t="shared" si="3"/>
        <v>0</v>
      </c>
    </row>
    <row r="239" spans="1:8" x14ac:dyDescent="0.25">
      <c r="A239" s="1"/>
      <c r="B239" s="1"/>
      <c r="C239" s="1"/>
      <c r="D239" s="1"/>
      <c r="E239">
        <f>IFERROR(SUMIFS('Stock Received'!$F:$F,'Stock Received'!$D:$D,$A239,'Stock Received'!$E:$E,$C239),0)</f>
        <v>0</v>
      </c>
      <c r="F239">
        <f>IFERROR(SUMIFS('Arrangement Tracker'!$F:$F,'Arrangement Tracker'!$D:$D,$A239,'Arrangement Tracker'!$E:$E,$C239),0)</f>
        <v>0</v>
      </c>
      <c r="G239">
        <f>IFERROR(SUMIFS('Losses &amp; Damages'!$E:$E,'Losses &amp; Damages'!$C:$C,$A239,'Losses &amp; Damages'!$D:$D,$C239),0)</f>
        <v>0</v>
      </c>
      <c r="H239">
        <f t="shared" si="3"/>
        <v>0</v>
      </c>
    </row>
    <row r="240" spans="1:8" x14ac:dyDescent="0.25">
      <c r="A240" s="1"/>
      <c r="B240" s="1"/>
      <c r="C240" s="1"/>
      <c r="D240" s="1"/>
      <c r="E240">
        <f>IFERROR(SUMIFS('Stock Received'!$F:$F,'Stock Received'!$D:$D,$A240,'Stock Received'!$E:$E,$C240),0)</f>
        <v>0</v>
      </c>
      <c r="F240">
        <f>IFERROR(SUMIFS('Arrangement Tracker'!$F:$F,'Arrangement Tracker'!$D:$D,$A240,'Arrangement Tracker'!$E:$E,$C240),0)</f>
        <v>0</v>
      </c>
      <c r="G240">
        <f>IFERROR(SUMIFS('Losses &amp; Damages'!$E:$E,'Losses &amp; Damages'!$C:$C,$A240,'Losses &amp; Damages'!$D:$D,$C240),0)</f>
        <v>0</v>
      </c>
      <c r="H240">
        <f t="shared" si="3"/>
        <v>0</v>
      </c>
    </row>
    <row r="241" spans="1:8" x14ac:dyDescent="0.25">
      <c r="A241" s="1"/>
      <c r="B241" s="1"/>
      <c r="C241" s="1"/>
      <c r="D241" s="1"/>
      <c r="E241">
        <f>IFERROR(SUMIFS('Stock Received'!$F:$F,'Stock Received'!$D:$D,$A241,'Stock Received'!$E:$E,$C241),0)</f>
        <v>0</v>
      </c>
      <c r="F241">
        <f>IFERROR(SUMIFS('Arrangement Tracker'!$F:$F,'Arrangement Tracker'!$D:$D,$A241,'Arrangement Tracker'!$E:$E,$C241),0)</f>
        <v>0</v>
      </c>
      <c r="G241">
        <f>IFERROR(SUMIFS('Losses &amp; Damages'!$E:$E,'Losses &amp; Damages'!$C:$C,$A241,'Losses &amp; Damages'!$D:$D,$C241),0)</f>
        <v>0</v>
      </c>
      <c r="H241">
        <f t="shared" si="3"/>
        <v>0</v>
      </c>
    </row>
    <row r="242" spans="1:8" x14ac:dyDescent="0.25">
      <c r="A242" s="1"/>
      <c r="B242" s="1"/>
      <c r="C242" s="1"/>
      <c r="D242" s="1"/>
      <c r="E242">
        <f>IFERROR(SUMIFS('Stock Received'!$F:$F,'Stock Received'!$D:$D,$A242,'Stock Received'!$E:$E,$C242),0)</f>
        <v>0</v>
      </c>
      <c r="F242">
        <f>IFERROR(SUMIFS('Arrangement Tracker'!$F:$F,'Arrangement Tracker'!$D:$D,$A242,'Arrangement Tracker'!$E:$E,$C242),0)</f>
        <v>0</v>
      </c>
      <c r="G242">
        <f>IFERROR(SUMIFS('Losses &amp; Damages'!$E:$E,'Losses &amp; Damages'!$C:$C,$A242,'Losses &amp; Damages'!$D:$D,$C242),0)</f>
        <v>0</v>
      </c>
      <c r="H242">
        <f t="shared" si="3"/>
        <v>0</v>
      </c>
    </row>
    <row r="243" spans="1:8" x14ac:dyDescent="0.25">
      <c r="A243" s="1"/>
      <c r="B243" s="1"/>
      <c r="C243" s="1"/>
      <c r="D243" s="1"/>
      <c r="E243">
        <f>IFERROR(SUMIFS('Stock Received'!$F:$F,'Stock Received'!$D:$D,$A243,'Stock Received'!$E:$E,$C243),0)</f>
        <v>0</v>
      </c>
      <c r="F243">
        <f>IFERROR(SUMIFS('Arrangement Tracker'!$F:$F,'Arrangement Tracker'!$D:$D,$A243,'Arrangement Tracker'!$E:$E,$C243),0)</f>
        <v>0</v>
      </c>
      <c r="G243">
        <f>IFERROR(SUMIFS('Losses &amp; Damages'!$E:$E,'Losses &amp; Damages'!$C:$C,$A243,'Losses &amp; Damages'!$D:$D,$C243),0)</f>
        <v>0</v>
      </c>
      <c r="H243">
        <f t="shared" si="3"/>
        <v>0</v>
      </c>
    </row>
    <row r="244" spans="1:8" x14ac:dyDescent="0.25">
      <c r="A244" s="1"/>
      <c r="B244" s="1"/>
      <c r="C244" s="1"/>
      <c r="D244" s="1"/>
      <c r="E244">
        <f>IFERROR(SUMIFS('Stock Received'!$F:$F,'Stock Received'!$D:$D,$A244,'Stock Received'!$E:$E,$C244),0)</f>
        <v>0</v>
      </c>
      <c r="F244">
        <f>IFERROR(SUMIFS('Arrangement Tracker'!$F:$F,'Arrangement Tracker'!$D:$D,$A244,'Arrangement Tracker'!$E:$E,$C244),0)</f>
        <v>0</v>
      </c>
      <c r="G244">
        <f>IFERROR(SUMIFS('Losses &amp; Damages'!$E:$E,'Losses &amp; Damages'!$C:$C,$A244,'Losses &amp; Damages'!$D:$D,$C244),0)</f>
        <v>0</v>
      </c>
      <c r="H244">
        <f t="shared" si="3"/>
        <v>0</v>
      </c>
    </row>
    <row r="245" spans="1:8" x14ac:dyDescent="0.25">
      <c r="A245" s="1"/>
      <c r="B245" s="1"/>
      <c r="C245" s="1"/>
      <c r="D245" s="1"/>
      <c r="E245">
        <f>IFERROR(SUMIFS('Stock Received'!$F:$F,'Stock Received'!$D:$D,$A245,'Stock Received'!$E:$E,$C245),0)</f>
        <v>0</v>
      </c>
      <c r="F245">
        <f>IFERROR(SUMIFS('Arrangement Tracker'!$F:$F,'Arrangement Tracker'!$D:$D,$A245,'Arrangement Tracker'!$E:$E,$C245),0)</f>
        <v>0</v>
      </c>
      <c r="G245">
        <f>IFERROR(SUMIFS('Losses &amp; Damages'!$E:$E,'Losses &amp; Damages'!$C:$C,$A245,'Losses &amp; Damages'!$D:$D,$C245),0)</f>
        <v>0</v>
      </c>
      <c r="H245">
        <f t="shared" si="3"/>
        <v>0</v>
      </c>
    </row>
    <row r="246" spans="1:8" x14ac:dyDescent="0.25">
      <c r="A246" s="1"/>
      <c r="B246" s="1"/>
      <c r="C246" s="1"/>
      <c r="D246" s="1"/>
      <c r="E246">
        <f>IFERROR(SUMIFS('Stock Received'!$F:$F,'Stock Received'!$D:$D,$A246,'Stock Received'!$E:$E,$C246),0)</f>
        <v>0</v>
      </c>
      <c r="F246">
        <f>IFERROR(SUMIFS('Arrangement Tracker'!$F:$F,'Arrangement Tracker'!$D:$D,$A246,'Arrangement Tracker'!$E:$E,$C246),0)</f>
        <v>0</v>
      </c>
      <c r="G246">
        <f>IFERROR(SUMIFS('Losses &amp; Damages'!$E:$E,'Losses &amp; Damages'!$C:$C,$A246,'Losses &amp; Damages'!$D:$D,$C246),0)</f>
        <v>0</v>
      </c>
      <c r="H246">
        <f t="shared" si="3"/>
        <v>0</v>
      </c>
    </row>
    <row r="247" spans="1:8" x14ac:dyDescent="0.25">
      <c r="A247" s="1"/>
      <c r="B247" s="1"/>
      <c r="C247" s="1"/>
      <c r="D247" s="1"/>
      <c r="E247">
        <f>IFERROR(SUMIFS('Stock Received'!$F:$F,'Stock Received'!$D:$D,$A247,'Stock Received'!$E:$E,$C247),0)</f>
        <v>0</v>
      </c>
      <c r="F247">
        <f>IFERROR(SUMIFS('Arrangement Tracker'!$F:$F,'Arrangement Tracker'!$D:$D,$A247,'Arrangement Tracker'!$E:$E,$C247),0)</f>
        <v>0</v>
      </c>
      <c r="G247">
        <f>IFERROR(SUMIFS('Losses &amp; Damages'!$E:$E,'Losses &amp; Damages'!$C:$C,$A247,'Losses &amp; Damages'!$D:$D,$C247),0)</f>
        <v>0</v>
      </c>
      <c r="H247">
        <f t="shared" si="3"/>
        <v>0</v>
      </c>
    </row>
    <row r="248" spans="1:8" x14ac:dyDescent="0.25">
      <c r="A248" s="1"/>
      <c r="B248" s="1"/>
      <c r="C248" s="1"/>
      <c r="D248" s="1"/>
      <c r="E248">
        <f>IFERROR(SUMIFS('Stock Received'!$F:$F,'Stock Received'!$D:$D,$A248,'Stock Received'!$E:$E,$C248),0)</f>
        <v>0</v>
      </c>
      <c r="F248">
        <f>IFERROR(SUMIFS('Arrangement Tracker'!$F:$F,'Arrangement Tracker'!$D:$D,$A248,'Arrangement Tracker'!$E:$E,$C248),0)</f>
        <v>0</v>
      </c>
      <c r="G248">
        <f>IFERROR(SUMIFS('Losses &amp; Damages'!$E:$E,'Losses &amp; Damages'!$C:$C,$A248,'Losses &amp; Damages'!$D:$D,$C248),0)</f>
        <v>0</v>
      </c>
      <c r="H248">
        <f t="shared" si="3"/>
        <v>0</v>
      </c>
    </row>
    <row r="249" spans="1:8" x14ac:dyDescent="0.25">
      <c r="A249" s="1"/>
      <c r="B249" s="1"/>
      <c r="C249" s="1"/>
      <c r="D249" s="1"/>
      <c r="E249">
        <f>IFERROR(SUMIFS('Stock Received'!$F:$F,'Stock Received'!$D:$D,$A249,'Stock Received'!$E:$E,$C249),0)</f>
        <v>0</v>
      </c>
      <c r="F249">
        <f>IFERROR(SUMIFS('Arrangement Tracker'!$F:$F,'Arrangement Tracker'!$D:$D,$A249,'Arrangement Tracker'!$E:$E,$C249),0)</f>
        <v>0</v>
      </c>
      <c r="G249">
        <f>IFERROR(SUMIFS('Losses &amp; Damages'!$E:$E,'Losses &amp; Damages'!$C:$C,$A249,'Losses &amp; Damages'!$D:$D,$C249),0)</f>
        <v>0</v>
      </c>
      <c r="H249">
        <f t="shared" si="3"/>
        <v>0</v>
      </c>
    </row>
    <row r="250" spans="1:8" x14ac:dyDescent="0.25">
      <c r="A250" s="1"/>
      <c r="B250" s="1"/>
      <c r="C250" s="1"/>
      <c r="D250" s="1"/>
      <c r="E250">
        <f>IFERROR(SUMIFS('Stock Received'!$F:$F,'Stock Received'!$D:$D,$A250,'Stock Received'!$E:$E,$C250),0)</f>
        <v>0</v>
      </c>
      <c r="F250">
        <f>IFERROR(SUMIFS('Arrangement Tracker'!$F:$F,'Arrangement Tracker'!$D:$D,$A250,'Arrangement Tracker'!$E:$E,$C250),0)</f>
        <v>0</v>
      </c>
      <c r="G250">
        <f>IFERROR(SUMIFS('Losses &amp; Damages'!$E:$E,'Losses &amp; Damages'!$C:$C,$A250,'Losses &amp; Damages'!$D:$D,$C250),0)</f>
        <v>0</v>
      </c>
      <c r="H250">
        <f t="shared" si="3"/>
        <v>0</v>
      </c>
    </row>
    <row r="251" spans="1:8" x14ac:dyDescent="0.25">
      <c r="A251" s="1"/>
      <c r="B251" s="1"/>
      <c r="C251" s="1"/>
      <c r="D251" s="1"/>
      <c r="E251">
        <f>IFERROR(SUMIFS('Stock Received'!$F:$F,'Stock Received'!$D:$D,$A251,'Stock Received'!$E:$E,$C251),0)</f>
        <v>0</v>
      </c>
      <c r="F251">
        <f>IFERROR(SUMIFS('Arrangement Tracker'!$F:$F,'Arrangement Tracker'!$D:$D,$A251,'Arrangement Tracker'!$E:$E,$C251),0)</f>
        <v>0</v>
      </c>
      <c r="G251">
        <f>IFERROR(SUMIFS('Losses &amp; Damages'!$E:$E,'Losses &amp; Damages'!$C:$C,$A251,'Losses &amp; Damages'!$D:$D,$C251),0)</f>
        <v>0</v>
      </c>
      <c r="H251">
        <f t="shared" si="3"/>
        <v>0</v>
      </c>
    </row>
    <row r="252" spans="1:8" x14ac:dyDescent="0.25">
      <c r="A252" s="1"/>
      <c r="B252" s="1"/>
      <c r="C252" s="1"/>
      <c r="D252" s="1"/>
      <c r="E252">
        <f>IFERROR(SUMIFS('Stock Received'!$F:$F,'Stock Received'!$D:$D,$A252,'Stock Received'!$E:$E,$C252),0)</f>
        <v>0</v>
      </c>
      <c r="F252">
        <f>IFERROR(SUMIFS('Arrangement Tracker'!$F:$F,'Arrangement Tracker'!$D:$D,$A252,'Arrangement Tracker'!$E:$E,$C252),0)</f>
        <v>0</v>
      </c>
      <c r="G252">
        <f>IFERROR(SUMIFS('Losses &amp; Damages'!$E:$E,'Losses &amp; Damages'!$C:$C,$A252,'Losses &amp; Damages'!$D:$D,$C252),0)</f>
        <v>0</v>
      </c>
      <c r="H252">
        <f t="shared" si="3"/>
        <v>0</v>
      </c>
    </row>
    <row r="253" spans="1:8" x14ac:dyDescent="0.25">
      <c r="A253" s="1"/>
      <c r="B253" s="1"/>
      <c r="C253" s="1"/>
      <c r="D253" s="1"/>
      <c r="E253">
        <f>IFERROR(SUMIFS('Stock Received'!$F:$F,'Stock Received'!$D:$D,$A253,'Stock Received'!$E:$E,$C253),0)</f>
        <v>0</v>
      </c>
      <c r="F253">
        <f>IFERROR(SUMIFS('Arrangement Tracker'!$F:$F,'Arrangement Tracker'!$D:$D,$A253,'Arrangement Tracker'!$E:$E,$C253),0)</f>
        <v>0</v>
      </c>
      <c r="G253">
        <f>IFERROR(SUMIFS('Losses &amp; Damages'!$E:$E,'Losses &amp; Damages'!$C:$C,$A253,'Losses &amp; Damages'!$D:$D,$C253),0)</f>
        <v>0</v>
      </c>
      <c r="H253">
        <f t="shared" si="3"/>
        <v>0</v>
      </c>
    </row>
    <row r="254" spans="1:8" x14ac:dyDescent="0.25">
      <c r="A254" s="1"/>
      <c r="B254" s="1"/>
      <c r="C254" s="1"/>
      <c r="D254" s="1"/>
      <c r="E254">
        <f>IFERROR(SUMIFS('Stock Received'!$F:$F,'Stock Received'!$D:$D,$A254,'Stock Received'!$E:$E,$C254),0)</f>
        <v>0</v>
      </c>
      <c r="F254">
        <f>IFERROR(SUMIFS('Arrangement Tracker'!$F:$F,'Arrangement Tracker'!$D:$D,$A254,'Arrangement Tracker'!$E:$E,$C254),0)</f>
        <v>0</v>
      </c>
      <c r="G254">
        <f>IFERROR(SUMIFS('Losses &amp; Damages'!$E:$E,'Losses &amp; Damages'!$C:$C,$A254,'Losses &amp; Damages'!$D:$D,$C254),0)</f>
        <v>0</v>
      </c>
      <c r="H254">
        <f t="shared" si="3"/>
        <v>0</v>
      </c>
    </row>
    <row r="255" spans="1:8" x14ac:dyDescent="0.25">
      <c r="A255" s="1"/>
      <c r="B255" s="1"/>
      <c r="C255" s="1"/>
      <c r="D255" s="1"/>
      <c r="E255">
        <f>IFERROR(SUMIFS('Stock Received'!$F:$F,'Stock Received'!$D:$D,$A255,'Stock Received'!$E:$E,$C255),0)</f>
        <v>0</v>
      </c>
      <c r="F255">
        <f>IFERROR(SUMIFS('Arrangement Tracker'!$F:$F,'Arrangement Tracker'!$D:$D,$A255,'Arrangement Tracker'!$E:$E,$C255),0)</f>
        <v>0</v>
      </c>
      <c r="G255">
        <f>IFERROR(SUMIFS('Losses &amp; Damages'!$E:$E,'Losses &amp; Damages'!$C:$C,$A255,'Losses &amp; Damages'!$D:$D,$C255),0)</f>
        <v>0</v>
      </c>
      <c r="H255">
        <f t="shared" si="3"/>
        <v>0</v>
      </c>
    </row>
    <row r="256" spans="1:8" x14ac:dyDescent="0.25">
      <c r="A256" s="1"/>
      <c r="B256" s="1"/>
      <c r="C256" s="1"/>
      <c r="D256" s="1"/>
      <c r="E256">
        <f>IFERROR(SUMIFS('Stock Received'!$F:$F,'Stock Received'!$D:$D,$A256,'Stock Received'!$E:$E,$C256),0)</f>
        <v>0</v>
      </c>
      <c r="F256">
        <f>IFERROR(SUMIFS('Arrangement Tracker'!$F:$F,'Arrangement Tracker'!$D:$D,$A256,'Arrangement Tracker'!$E:$E,$C256),0)</f>
        <v>0</v>
      </c>
      <c r="G256">
        <f>IFERROR(SUMIFS('Losses &amp; Damages'!$E:$E,'Losses &amp; Damages'!$C:$C,$A256,'Losses &amp; Damages'!$D:$D,$C256),0)</f>
        <v>0</v>
      </c>
      <c r="H256">
        <f t="shared" si="3"/>
        <v>0</v>
      </c>
    </row>
    <row r="257" spans="1:8" x14ac:dyDescent="0.25">
      <c r="A257" s="1"/>
      <c r="B257" s="1"/>
      <c r="C257" s="1"/>
      <c r="D257" s="1"/>
      <c r="E257">
        <f>IFERROR(SUMIFS('Stock Received'!$F:$F,'Stock Received'!$D:$D,$A257,'Stock Received'!$E:$E,$C257),0)</f>
        <v>0</v>
      </c>
      <c r="F257">
        <f>IFERROR(SUMIFS('Arrangement Tracker'!$F:$F,'Arrangement Tracker'!$D:$D,$A257,'Arrangement Tracker'!$E:$E,$C257),0)</f>
        <v>0</v>
      </c>
      <c r="G257">
        <f>IFERROR(SUMIFS('Losses &amp; Damages'!$E:$E,'Losses &amp; Damages'!$C:$C,$A257,'Losses &amp; Damages'!$D:$D,$C257),0)</f>
        <v>0</v>
      </c>
      <c r="H257">
        <f t="shared" si="3"/>
        <v>0</v>
      </c>
    </row>
    <row r="258" spans="1:8" x14ac:dyDescent="0.25">
      <c r="A258" s="1"/>
      <c r="B258" s="1"/>
      <c r="C258" s="1"/>
      <c r="D258" s="1"/>
      <c r="E258">
        <f>IFERROR(SUMIFS('Stock Received'!$F:$F,'Stock Received'!$D:$D,$A258,'Stock Received'!$E:$E,$C258),0)</f>
        <v>0</v>
      </c>
      <c r="F258">
        <f>IFERROR(SUMIFS('Arrangement Tracker'!$F:$F,'Arrangement Tracker'!$D:$D,$A258,'Arrangement Tracker'!$E:$E,$C258),0)</f>
        <v>0</v>
      </c>
      <c r="G258">
        <f>IFERROR(SUMIFS('Losses &amp; Damages'!$E:$E,'Losses &amp; Damages'!$C:$C,$A258,'Losses &amp; Damages'!$D:$D,$C258),0)</f>
        <v>0</v>
      </c>
      <c r="H258">
        <f t="shared" ref="H258:H321" si="4">IFERROR(D258+E258-F258-G258,0)</f>
        <v>0</v>
      </c>
    </row>
    <row r="259" spans="1:8" x14ac:dyDescent="0.25">
      <c r="A259" s="1"/>
      <c r="B259" s="1"/>
      <c r="C259" s="1"/>
      <c r="D259" s="1"/>
      <c r="E259">
        <f>IFERROR(SUMIFS('Stock Received'!$F:$F,'Stock Received'!$D:$D,$A259,'Stock Received'!$E:$E,$C259),0)</f>
        <v>0</v>
      </c>
      <c r="F259">
        <f>IFERROR(SUMIFS('Arrangement Tracker'!$F:$F,'Arrangement Tracker'!$D:$D,$A259,'Arrangement Tracker'!$E:$E,$C259),0)</f>
        <v>0</v>
      </c>
      <c r="G259">
        <f>IFERROR(SUMIFS('Losses &amp; Damages'!$E:$E,'Losses &amp; Damages'!$C:$C,$A259,'Losses &amp; Damages'!$D:$D,$C259),0)</f>
        <v>0</v>
      </c>
      <c r="H259">
        <f t="shared" si="4"/>
        <v>0</v>
      </c>
    </row>
    <row r="260" spans="1:8" x14ac:dyDescent="0.25">
      <c r="A260" s="1"/>
      <c r="B260" s="1"/>
      <c r="C260" s="1"/>
      <c r="D260" s="1"/>
      <c r="E260">
        <f>IFERROR(SUMIFS('Stock Received'!$F:$F,'Stock Received'!$D:$D,$A260,'Stock Received'!$E:$E,$C260),0)</f>
        <v>0</v>
      </c>
      <c r="F260">
        <f>IFERROR(SUMIFS('Arrangement Tracker'!$F:$F,'Arrangement Tracker'!$D:$D,$A260,'Arrangement Tracker'!$E:$E,$C260),0)</f>
        <v>0</v>
      </c>
      <c r="G260">
        <f>IFERROR(SUMIFS('Losses &amp; Damages'!$E:$E,'Losses &amp; Damages'!$C:$C,$A260,'Losses &amp; Damages'!$D:$D,$C260),0)</f>
        <v>0</v>
      </c>
      <c r="H260">
        <f t="shared" si="4"/>
        <v>0</v>
      </c>
    </row>
    <row r="261" spans="1:8" x14ac:dyDescent="0.25">
      <c r="A261" s="1"/>
      <c r="B261" s="1"/>
      <c r="C261" s="1"/>
      <c r="D261" s="1"/>
      <c r="E261">
        <f>IFERROR(SUMIFS('Stock Received'!$F:$F,'Stock Received'!$D:$D,$A261,'Stock Received'!$E:$E,$C261),0)</f>
        <v>0</v>
      </c>
      <c r="F261">
        <f>IFERROR(SUMIFS('Arrangement Tracker'!$F:$F,'Arrangement Tracker'!$D:$D,$A261,'Arrangement Tracker'!$E:$E,$C261),0)</f>
        <v>0</v>
      </c>
      <c r="G261">
        <f>IFERROR(SUMIFS('Losses &amp; Damages'!$E:$E,'Losses &amp; Damages'!$C:$C,$A261,'Losses &amp; Damages'!$D:$D,$C261),0)</f>
        <v>0</v>
      </c>
      <c r="H261">
        <f t="shared" si="4"/>
        <v>0</v>
      </c>
    </row>
    <row r="262" spans="1:8" x14ac:dyDescent="0.25">
      <c r="A262" s="1"/>
      <c r="B262" s="1"/>
      <c r="C262" s="1"/>
      <c r="D262" s="1"/>
      <c r="E262">
        <f>IFERROR(SUMIFS('Stock Received'!$F:$F,'Stock Received'!$D:$D,$A262,'Stock Received'!$E:$E,$C262),0)</f>
        <v>0</v>
      </c>
      <c r="F262">
        <f>IFERROR(SUMIFS('Arrangement Tracker'!$F:$F,'Arrangement Tracker'!$D:$D,$A262,'Arrangement Tracker'!$E:$E,$C262),0)</f>
        <v>0</v>
      </c>
      <c r="G262">
        <f>IFERROR(SUMIFS('Losses &amp; Damages'!$E:$E,'Losses &amp; Damages'!$C:$C,$A262,'Losses &amp; Damages'!$D:$D,$C262),0)</f>
        <v>0</v>
      </c>
      <c r="H262">
        <f t="shared" si="4"/>
        <v>0</v>
      </c>
    </row>
    <row r="263" spans="1:8" x14ac:dyDescent="0.25">
      <c r="A263" s="1"/>
      <c r="B263" s="1"/>
      <c r="C263" s="1"/>
      <c r="D263" s="1"/>
      <c r="E263">
        <f>IFERROR(SUMIFS('Stock Received'!$F:$F,'Stock Received'!$D:$D,$A263,'Stock Received'!$E:$E,$C263),0)</f>
        <v>0</v>
      </c>
      <c r="F263">
        <f>IFERROR(SUMIFS('Arrangement Tracker'!$F:$F,'Arrangement Tracker'!$D:$D,$A263,'Arrangement Tracker'!$E:$E,$C263),0)</f>
        <v>0</v>
      </c>
      <c r="G263">
        <f>IFERROR(SUMIFS('Losses &amp; Damages'!$E:$E,'Losses &amp; Damages'!$C:$C,$A263,'Losses &amp; Damages'!$D:$D,$C263),0)</f>
        <v>0</v>
      </c>
      <c r="H263">
        <f t="shared" si="4"/>
        <v>0</v>
      </c>
    </row>
    <row r="264" spans="1:8" x14ac:dyDescent="0.25">
      <c r="A264" s="1"/>
      <c r="B264" s="1"/>
      <c r="C264" s="1"/>
      <c r="D264" s="1"/>
      <c r="E264">
        <f>IFERROR(SUMIFS('Stock Received'!$F:$F,'Stock Received'!$D:$D,$A264,'Stock Received'!$E:$E,$C264),0)</f>
        <v>0</v>
      </c>
      <c r="F264">
        <f>IFERROR(SUMIFS('Arrangement Tracker'!$F:$F,'Arrangement Tracker'!$D:$D,$A264,'Arrangement Tracker'!$E:$E,$C264),0)</f>
        <v>0</v>
      </c>
      <c r="G264">
        <f>IFERROR(SUMIFS('Losses &amp; Damages'!$E:$E,'Losses &amp; Damages'!$C:$C,$A264,'Losses &amp; Damages'!$D:$D,$C264),0)</f>
        <v>0</v>
      </c>
      <c r="H264">
        <f t="shared" si="4"/>
        <v>0</v>
      </c>
    </row>
    <row r="265" spans="1:8" x14ac:dyDescent="0.25">
      <c r="A265" s="1"/>
      <c r="B265" s="1"/>
      <c r="C265" s="1"/>
      <c r="D265" s="1"/>
      <c r="E265">
        <f>IFERROR(SUMIFS('Stock Received'!$F:$F,'Stock Received'!$D:$D,$A265,'Stock Received'!$E:$E,$C265),0)</f>
        <v>0</v>
      </c>
      <c r="F265">
        <f>IFERROR(SUMIFS('Arrangement Tracker'!$F:$F,'Arrangement Tracker'!$D:$D,$A265,'Arrangement Tracker'!$E:$E,$C265),0)</f>
        <v>0</v>
      </c>
      <c r="G265">
        <f>IFERROR(SUMIFS('Losses &amp; Damages'!$E:$E,'Losses &amp; Damages'!$C:$C,$A265,'Losses &amp; Damages'!$D:$D,$C265),0)</f>
        <v>0</v>
      </c>
      <c r="H265">
        <f t="shared" si="4"/>
        <v>0</v>
      </c>
    </row>
    <row r="266" spans="1:8" x14ac:dyDescent="0.25">
      <c r="A266" s="1"/>
      <c r="B266" s="1"/>
      <c r="C266" s="1"/>
      <c r="D266" s="1"/>
      <c r="E266">
        <f>IFERROR(SUMIFS('Stock Received'!$F:$F,'Stock Received'!$D:$D,$A266,'Stock Received'!$E:$E,$C266),0)</f>
        <v>0</v>
      </c>
      <c r="F266">
        <f>IFERROR(SUMIFS('Arrangement Tracker'!$F:$F,'Arrangement Tracker'!$D:$D,$A266,'Arrangement Tracker'!$E:$E,$C266),0)</f>
        <v>0</v>
      </c>
      <c r="G266">
        <f>IFERROR(SUMIFS('Losses &amp; Damages'!$E:$E,'Losses &amp; Damages'!$C:$C,$A266,'Losses &amp; Damages'!$D:$D,$C266),0)</f>
        <v>0</v>
      </c>
      <c r="H266">
        <f t="shared" si="4"/>
        <v>0</v>
      </c>
    </row>
    <row r="267" spans="1:8" x14ac:dyDescent="0.25">
      <c r="A267" s="1"/>
      <c r="B267" s="1"/>
      <c r="C267" s="1"/>
      <c r="D267" s="1"/>
      <c r="E267">
        <f>IFERROR(SUMIFS('Stock Received'!$F:$F,'Stock Received'!$D:$D,$A267,'Stock Received'!$E:$E,$C267),0)</f>
        <v>0</v>
      </c>
      <c r="F267">
        <f>IFERROR(SUMIFS('Arrangement Tracker'!$F:$F,'Arrangement Tracker'!$D:$D,$A267,'Arrangement Tracker'!$E:$E,$C267),0)</f>
        <v>0</v>
      </c>
      <c r="G267">
        <f>IFERROR(SUMIFS('Losses &amp; Damages'!$E:$E,'Losses &amp; Damages'!$C:$C,$A267,'Losses &amp; Damages'!$D:$D,$C267),0)</f>
        <v>0</v>
      </c>
      <c r="H267">
        <f t="shared" si="4"/>
        <v>0</v>
      </c>
    </row>
    <row r="268" spans="1:8" x14ac:dyDescent="0.25">
      <c r="A268" s="1"/>
      <c r="B268" s="1"/>
      <c r="C268" s="1"/>
      <c r="D268" s="1"/>
      <c r="E268">
        <f>IFERROR(SUMIFS('Stock Received'!$F:$F,'Stock Received'!$D:$D,$A268,'Stock Received'!$E:$E,$C268),0)</f>
        <v>0</v>
      </c>
      <c r="F268">
        <f>IFERROR(SUMIFS('Arrangement Tracker'!$F:$F,'Arrangement Tracker'!$D:$D,$A268,'Arrangement Tracker'!$E:$E,$C268),0)</f>
        <v>0</v>
      </c>
      <c r="G268">
        <f>IFERROR(SUMIFS('Losses &amp; Damages'!$E:$E,'Losses &amp; Damages'!$C:$C,$A268,'Losses &amp; Damages'!$D:$D,$C268),0)</f>
        <v>0</v>
      </c>
      <c r="H268">
        <f t="shared" si="4"/>
        <v>0</v>
      </c>
    </row>
    <row r="269" spans="1:8" x14ac:dyDescent="0.25">
      <c r="A269" s="1"/>
      <c r="B269" s="1"/>
      <c r="C269" s="1"/>
      <c r="D269" s="1"/>
      <c r="E269">
        <f>IFERROR(SUMIFS('Stock Received'!$F:$F,'Stock Received'!$D:$D,$A269,'Stock Received'!$E:$E,$C269),0)</f>
        <v>0</v>
      </c>
      <c r="F269">
        <f>IFERROR(SUMIFS('Arrangement Tracker'!$F:$F,'Arrangement Tracker'!$D:$D,$A269,'Arrangement Tracker'!$E:$E,$C269),0)</f>
        <v>0</v>
      </c>
      <c r="G269">
        <f>IFERROR(SUMIFS('Losses &amp; Damages'!$E:$E,'Losses &amp; Damages'!$C:$C,$A269,'Losses &amp; Damages'!$D:$D,$C269),0)</f>
        <v>0</v>
      </c>
      <c r="H269">
        <f t="shared" si="4"/>
        <v>0</v>
      </c>
    </row>
    <row r="270" spans="1:8" x14ac:dyDescent="0.25">
      <c r="A270" s="1"/>
      <c r="B270" s="1"/>
      <c r="C270" s="1"/>
      <c r="D270" s="1"/>
      <c r="E270">
        <f>IFERROR(SUMIFS('Stock Received'!$F:$F,'Stock Received'!$D:$D,$A270,'Stock Received'!$E:$E,$C270),0)</f>
        <v>0</v>
      </c>
      <c r="F270">
        <f>IFERROR(SUMIFS('Arrangement Tracker'!$F:$F,'Arrangement Tracker'!$D:$D,$A270,'Arrangement Tracker'!$E:$E,$C270),0)</f>
        <v>0</v>
      </c>
      <c r="G270">
        <f>IFERROR(SUMIFS('Losses &amp; Damages'!$E:$E,'Losses &amp; Damages'!$C:$C,$A270,'Losses &amp; Damages'!$D:$D,$C270),0)</f>
        <v>0</v>
      </c>
      <c r="H270">
        <f t="shared" si="4"/>
        <v>0</v>
      </c>
    </row>
    <row r="271" spans="1:8" x14ac:dyDescent="0.25">
      <c r="A271" s="1"/>
      <c r="B271" s="1"/>
      <c r="C271" s="1"/>
      <c r="D271" s="1"/>
      <c r="E271">
        <f>IFERROR(SUMIFS('Stock Received'!$F:$F,'Stock Received'!$D:$D,$A271,'Stock Received'!$E:$E,$C271),0)</f>
        <v>0</v>
      </c>
      <c r="F271">
        <f>IFERROR(SUMIFS('Arrangement Tracker'!$F:$F,'Arrangement Tracker'!$D:$D,$A271,'Arrangement Tracker'!$E:$E,$C271),0)</f>
        <v>0</v>
      </c>
      <c r="G271">
        <f>IFERROR(SUMIFS('Losses &amp; Damages'!$E:$E,'Losses &amp; Damages'!$C:$C,$A271,'Losses &amp; Damages'!$D:$D,$C271),0)</f>
        <v>0</v>
      </c>
      <c r="H271">
        <f t="shared" si="4"/>
        <v>0</v>
      </c>
    </row>
    <row r="272" spans="1:8" x14ac:dyDescent="0.25">
      <c r="A272" s="1"/>
      <c r="B272" s="1"/>
      <c r="C272" s="1"/>
      <c r="D272" s="1"/>
      <c r="E272">
        <f>IFERROR(SUMIFS('Stock Received'!$F:$F,'Stock Received'!$D:$D,$A272,'Stock Received'!$E:$E,$C272),0)</f>
        <v>0</v>
      </c>
      <c r="F272">
        <f>IFERROR(SUMIFS('Arrangement Tracker'!$F:$F,'Arrangement Tracker'!$D:$D,$A272,'Arrangement Tracker'!$E:$E,$C272),0)</f>
        <v>0</v>
      </c>
      <c r="G272">
        <f>IFERROR(SUMIFS('Losses &amp; Damages'!$E:$E,'Losses &amp; Damages'!$C:$C,$A272,'Losses &amp; Damages'!$D:$D,$C272),0)</f>
        <v>0</v>
      </c>
      <c r="H272">
        <f t="shared" si="4"/>
        <v>0</v>
      </c>
    </row>
    <row r="273" spans="1:8" x14ac:dyDescent="0.25">
      <c r="A273" s="1"/>
      <c r="B273" s="1"/>
      <c r="C273" s="1"/>
      <c r="D273" s="1"/>
      <c r="E273">
        <f>IFERROR(SUMIFS('Stock Received'!$F:$F,'Stock Received'!$D:$D,$A273,'Stock Received'!$E:$E,$C273),0)</f>
        <v>0</v>
      </c>
      <c r="F273">
        <f>IFERROR(SUMIFS('Arrangement Tracker'!$F:$F,'Arrangement Tracker'!$D:$D,$A273,'Arrangement Tracker'!$E:$E,$C273),0)</f>
        <v>0</v>
      </c>
      <c r="G273">
        <f>IFERROR(SUMIFS('Losses &amp; Damages'!$E:$E,'Losses &amp; Damages'!$C:$C,$A273,'Losses &amp; Damages'!$D:$D,$C273),0)</f>
        <v>0</v>
      </c>
      <c r="H273">
        <f t="shared" si="4"/>
        <v>0</v>
      </c>
    </row>
    <row r="274" spans="1:8" x14ac:dyDescent="0.25">
      <c r="A274" s="1"/>
      <c r="B274" s="1"/>
      <c r="C274" s="1"/>
      <c r="D274" s="1"/>
      <c r="E274">
        <f>IFERROR(SUMIFS('Stock Received'!$F:$F,'Stock Received'!$D:$D,$A274,'Stock Received'!$E:$E,$C274),0)</f>
        <v>0</v>
      </c>
      <c r="F274">
        <f>IFERROR(SUMIFS('Arrangement Tracker'!$F:$F,'Arrangement Tracker'!$D:$D,$A274,'Arrangement Tracker'!$E:$E,$C274),0)</f>
        <v>0</v>
      </c>
      <c r="G274">
        <f>IFERROR(SUMIFS('Losses &amp; Damages'!$E:$E,'Losses &amp; Damages'!$C:$C,$A274,'Losses &amp; Damages'!$D:$D,$C274),0)</f>
        <v>0</v>
      </c>
      <c r="H274">
        <f t="shared" si="4"/>
        <v>0</v>
      </c>
    </row>
    <row r="275" spans="1:8" x14ac:dyDescent="0.25">
      <c r="A275" s="1"/>
      <c r="B275" s="1"/>
      <c r="C275" s="1"/>
      <c r="D275" s="1"/>
      <c r="E275">
        <f>IFERROR(SUMIFS('Stock Received'!$F:$F,'Stock Received'!$D:$D,$A275,'Stock Received'!$E:$E,$C275),0)</f>
        <v>0</v>
      </c>
      <c r="F275">
        <f>IFERROR(SUMIFS('Arrangement Tracker'!$F:$F,'Arrangement Tracker'!$D:$D,$A275,'Arrangement Tracker'!$E:$E,$C275),0)</f>
        <v>0</v>
      </c>
      <c r="G275">
        <f>IFERROR(SUMIFS('Losses &amp; Damages'!$E:$E,'Losses &amp; Damages'!$C:$C,$A275,'Losses &amp; Damages'!$D:$D,$C275),0)</f>
        <v>0</v>
      </c>
      <c r="H275">
        <f t="shared" si="4"/>
        <v>0</v>
      </c>
    </row>
    <row r="276" spans="1:8" x14ac:dyDescent="0.25">
      <c r="A276" s="1"/>
      <c r="B276" s="1"/>
      <c r="C276" s="1"/>
      <c r="D276" s="1"/>
      <c r="E276">
        <f>IFERROR(SUMIFS('Stock Received'!$F:$F,'Stock Received'!$D:$D,$A276,'Stock Received'!$E:$E,$C276),0)</f>
        <v>0</v>
      </c>
      <c r="F276">
        <f>IFERROR(SUMIFS('Arrangement Tracker'!$F:$F,'Arrangement Tracker'!$D:$D,$A276,'Arrangement Tracker'!$E:$E,$C276),0)</f>
        <v>0</v>
      </c>
      <c r="G276">
        <f>IFERROR(SUMIFS('Losses &amp; Damages'!$E:$E,'Losses &amp; Damages'!$C:$C,$A276,'Losses &amp; Damages'!$D:$D,$C276),0)</f>
        <v>0</v>
      </c>
      <c r="H276">
        <f t="shared" si="4"/>
        <v>0</v>
      </c>
    </row>
    <row r="277" spans="1:8" x14ac:dyDescent="0.25">
      <c r="A277" s="1"/>
      <c r="B277" s="1"/>
      <c r="C277" s="1"/>
      <c r="D277" s="1"/>
      <c r="E277">
        <f>IFERROR(SUMIFS('Stock Received'!$F:$F,'Stock Received'!$D:$D,$A277,'Stock Received'!$E:$E,$C277),0)</f>
        <v>0</v>
      </c>
      <c r="F277">
        <f>IFERROR(SUMIFS('Arrangement Tracker'!$F:$F,'Arrangement Tracker'!$D:$D,$A277,'Arrangement Tracker'!$E:$E,$C277),0)</f>
        <v>0</v>
      </c>
      <c r="G277">
        <f>IFERROR(SUMIFS('Losses &amp; Damages'!$E:$E,'Losses &amp; Damages'!$C:$C,$A277,'Losses &amp; Damages'!$D:$D,$C277),0)</f>
        <v>0</v>
      </c>
      <c r="H277">
        <f t="shared" si="4"/>
        <v>0</v>
      </c>
    </row>
    <row r="278" spans="1:8" x14ac:dyDescent="0.25">
      <c r="A278" s="1"/>
      <c r="B278" s="1"/>
      <c r="C278" s="1"/>
      <c r="D278" s="1"/>
      <c r="E278">
        <f>IFERROR(SUMIFS('Stock Received'!$F:$F,'Stock Received'!$D:$D,$A278,'Stock Received'!$E:$E,$C278),0)</f>
        <v>0</v>
      </c>
      <c r="F278">
        <f>IFERROR(SUMIFS('Arrangement Tracker'!$F:$F,'Arrangement Tracker'!$D:$D,$A278,'Arrangement Tracker'!$E:$E,$C278),0)</f>
        <v>0</v>
      </c>
      <c r="G278">
        <f>IFERROR(SUMIFS('Losses &amp; Damages'!$E:$E,'Losses &amp; Damages'!$C:$C,$A278,'Losses &amp; Damages'!$D:$D,$C278),0)</f>
        <v>0</v>
      </c>
      <c r="H278">
        <f t="shared" si="4"/>
        <v>0</v>
      </c>
    </row>
    <row r="279" spans="1:8" x14ac:dyDescent="0.25">
      <c r="A279" s="1"/>
      <c r="B279" s="1"/>
      <c r="C279" s="1"/>
      <c r="D279" s="1"/>
      <c r="E279">
        <f>IFERROR(SUMIFS('Stock Received'!$F:$F,'Stock Received'!$D:$D,$A279,'Stock Received'!$E:$E,$C279),0)</f>
        <v>0</v>
      </c>
      <c r="F279">
        <f>IFERROR(SUMIFS('Arrangement Tracker'!$F:$F,'Arrangement Tracker'!$D:$D,$A279,'Arrangement Tracker'!$E:$E,$C279),0)</f>
        <v>0</v>
      </c>
      <c r="G279">
        <f>IFERROR(SUMIFS('Losses &amp; Damages'!$E:$E,'Losses &amp; Damages'!$C:$C,$A279,'Losses &amp; Damages'!$D:$D,$C279),0)</f>
        <v>0</v>
      </c>
      <c r="H279">
        <f t="shared" si="4"/>
        <v>0</v>
      </c>
    </row>
    <row r="280" spans="1:8" x14ac:dyDescent="0.25">
      <c r="A280" s="1"/>
      <c r="B280" s="1"/>
      <c r="C280" s="1"/>
      <c r="D280" s="1"/>
      <c r="E280">
        <f>IFERROR(SUMIFS('Stock Received'!$F:$F,'Stock Received'!$D:$D,$A280,'Stock Received'!$E:$E,$C280),0)</f>
        <v>0</v>
      </c>
      <c r="F280">
        <f>IFERROR(SUMIFS('Arrangement Tracker'!$F:$F,'Arrangement Tracker'!$D:$D,$A280,'Arrangement Tracker'!$E:$E,$C280),0)</f>
        <v>0</v>
      </c>
      <c r="G280">
        <f>IFERROR(SUMIFS('Losses &amp; Damages'!$E:$E,'Losses &amp; Damages'!$C:$C,$A280,'Losses &amp; Damages'!$D:$D,$C280),0)</f>
        <v>0</v>
      </c>
      <c r="H280">
        <f t="shared" si="4"/>
        <v>0</v>
      </c>
    </row>
    <row r="281" spans="1:8" x14ac:dyDescent="0.25">
      <c r="A281" s="1"/>
      <c r="B281" s="1"/>
      <c r="C281" s="1"/>
      <c r="D281" s="1"/>
      <c r="E281">
        <f>IFERROR(SUMIFS('Stock Received'!$F:$F,'Stock Received'!$D:$D,$A281,'Stock Received'!$E:$E,$C281),0)</f>
        <v>0</v>
      </c>
      <c r="F281">
        <f>IFERROR(SUMIFS('Arrangement Tracker'!$F:$F,'Arrangement Tracker'!$D:$D,$A281,'Arrangement Tracker'!$E:$E,$C281),0)</f>
        <v>0</v>
      </c>
      <c r="G281">
        <f>IFERROR(SUMIFS('Losses &amp; Damages'!$E:$E,'Losses &amp; Damages'!$C:$C,$A281,'Losses &amp; Damages'!$D:$D,$C281),0)</f>
        <v>0</v>
      </c>
      <c r="H281">
        <f t="shared" si="4"/>
        <v>0</v>
      </c>
    </row>
    <row r="282" spans="1:8" x14ac:dyDescent="0.25">
      <c r="A282" s="1"/>
      <c r="B282" s="1"/>
      <c r="C282" s="1"/>
      <c r="D282" s="1"/>
      <c r="E282">
        <f>IFERROR(SUMIFS('Stock Received'!$F:$F,'Stock Received'!$D:$D,$A282,'Stock Received'!$E:$E,$C282),0)</f>
        <v>0</v>
      </c>
      <c r="F282">
        <f>IFERROR(SUMIFS('Arrangement Tracker'!$F:$F,'Arrangement Tracker'!$D:$D,$A282,'Arrangement Tracker'!$E:$E,$C282),0)</f>
        <v>0</v>
      </c>
      <c r="G282">
        <f>IFERROR(SUMIFS('Losses &amp; Damages'!$E:$E,'Losses &amp; Damages'!$C:$C,$A282,'Losses &amp; Damages'!$D:$D,$C282),0)</f>
        <v>0</v>
      </c>
      <c r="H282">
        <f t="shared" si="4"/>
        <v>0</v>
      </c>
    </row>
    <row r="283" spans="1:8" x14ac:dyDescent="0.25">
      <c r="A283" s="1"/>
      <c r="B283" s="1"/>
      <c r="C283" s="1"/>
      <c r="D283" s="1"/>
      <c r="E283">
        <f>IFERROR(SUMIFS('Stock Received'!$F:$F,'Stock Received'!$D:$D,$A283,'Stock Received'!$E:$E,$C283),0)</f>
        <v>0</v>
      </c>
      <c r="F283">
        <f>IFERROR(SUMIFS('Arrangement Tracker'!$F:$F,'Arrangement Tracker'!$D:$D,$A283,'Arrangement Tracker'!$E:$E,$C283),0)</f>
        <v>0</v>
      </c>
      <c r="G283">
        <f>IFERROR(SUMIFS('Losses &amp; Damages'!$E:$E,'Losses &amp; Damages'!$C:$C,$A283,'Losses &amp; Damages'!$D:$D,$C283),0)</f>
        <v>0</v>
      </c>
      <c r="H283">
        <f t="shared" si="4"/>
        <v>0</v>
      </c>
    </row>
    <row r="284" spans="1:8" x14ac:dyDescent="0.25">
      <c r="A284" s="1"/>
      <c r="B284" s="1"/>
      <c r="C284" s="1"/>
      <c r="D284" s="1"/>
      <c r="E284">
        <f>IFERROR(SUMIFS('Stock Received'!$F:$F,'Stock Received'!$D:$D,$A284,'Stock Received'!$E:$E,$C284),0)</f>
        <v>0</v>
      </c>
      <c r="F284">
        <f>IFERROR(SUMIFS('Arrangement Tracker'!$F:$F,'Arrangement Tracker'!$D:$D,$A284,'Arrangement Tracker'!$E:$E,$C284),0)</f>
        <v>0</v>
      </c>
      <c r="G284">
        <f>IFERROR(SUMIFS('Losses &amp; Damages'!$E:$E,'Losses &amp; Damages'!$C:$C,$A284,'Losses &amp; Damages'!$D:$D,$C284),0)</f>
        <v>0</v>
      </c>
      <c r="H284">
        <f t="shared" si="4"/>
        <v>0</v>
      </c>
    </row>
    <row r="285" spans="1:8" x14ac:dyDescent="0.25">
      <c r="A285" s="1"/>
      <c r="B285" s="1"/>
      <c r="C285" s="1"/>
      <c r="D285" s="1"/>
      <c r="E285">
        <f>IFERROR(SUMIFS('Stock Received'!$F:$F,'Stock Received'!$D:$D,$A285,'Stock Received'!$E:$E,$C285),0)</f>
        <v>0</v>
      </c>
      <c r="F285">
        <f>IFERROR(SUMIFS('Arrangement Tracker'!$F:$F,'Arrangement Tracker'!$D:$D,$A285,'Arrangement Tracker'!$E:$E,$C285),0)</f>
        <v>0</v>
      </c>
      <c r="G285">
        <f>IFERROR(SUMIFS('Losses &amp; Damages'!$E:$E,'Losses &amp; Damages'!$C:$C,$A285,'Losses &amp; Damages'!$D:$D,$C285),0)</f>
        <v>0</v>
      </c>
      <c r="H285">
        <f t="shared" si="4"/>
        <v>0</v>
      </c>
    </row>
    <row r="286" spans="1:8" x14ac:dyDescent="0.25">
      <c r="A286" s="1"/>
      <c r="B286" s="1"/>
      <c r="C286" s="1"/>
      <c r="D286" s="1"/>
      <c r="E286">
        <f>IFERROR(SUMIFS('Stock Received'!$F:$F,'Stock Received'!$D:$D,$A286,'Stock Received'!$E:$E,$C286),0)</f>
        <v>0</v>
      </c>
      <c r="F286">
        <f>IFERROR(SUMIFS('Arrangement Tracker'!$F:$F,'Arrangement Tracker'!$D:$D,$A286,'Arrangement Tracker'!$E:$E,$C286),0)</f>
        <v>0</v>
      </c>
      <c r="G286">
        <f>IFERROR(SUMIFS('Losses &amp; Damages'!$E:$E,'Losses &amp; Damages'!$C:$C,$A286,'Losses &amp; Damages'!$D:$D,$C286),0)</f>
        <v>0</v>
      </c>
      <c r="H286">
        <f t="shared" si="4"/>
        <v>0</v>
      </c>
    </row>
    <row r="287" spans="1:8" x14ac:dyDescent="0.25">
      <c r="A287" s="1"/>
      <c r="B287" s="1"/>
      <c r="C287" s="1"/>
      <c r="D287" s="1"/>
      <c r="E287">
        <f>IFERROR(SUMIFS('Stock Received'!$F:$F,'Stock Received'!$D:$D,$A287,'Stock Received'!$E:$E,$C287),0)</f>
        <v>0</v>
      </c>
      <c r="F287">
        <f>IFERROR(SUMIFS('Arrangement Tracker'!$F:$F,'Arrangement Tracker'!$D:$D,$A287,'Arrangement Tracker'!$E:$E,$C287),0)</f>
        <v>0</v>
      </c>
      <c r="G287">
        <f>IFERROR(SUMIFS('Losses &amp; Damages'!$E:$E,'Losses &amp; Damages'!$C:$C,$A287,'Losses &amp; Damages'!$D:$D,$C287),0)</f>
        <v>0</v>
      </c>
      <c r="H287">
        <f t="shared" si="4"/>
        <v>0</v>
      </c>
    </row>
    <row r="288" spans="1:8" x14ac:dyDescent="0.25">
      <c r="A288" s="1"/>
      <c r="B288" s="1"/>
      <c r="C288" s="1"/>
      <c r="D288" s="1"/>
      <c r="E288">
        <f>IFERROR(SUMIFS('Stock Received'!$F:$F,'Stock Received'!$D:$D,$A288,'Stock Received'!$E:$E,$C288),0)</f>
        <v>0</v>
      </c>
      <c r="F288">
        <f>IFERROR(SUMIFS('Arrangement Tracker'!$F:$F,'Arrangement Tracker'!$D:$D,$A288,'Arrangement Tracker'!$E:$E,$C288),0)</f>
        <v>0</v>
      </c>
      <c r="G288">
        <f>IFERROR(SUMIFS('Losses &amp; Damages'!$E:$E,'Losses &amp; Damages'!$C:$C,$A288,'Losses &amp; Damages'!$D:$D,$C288),0)</f>
        <v>0</v>
      </c>
      <c r="H288">
        <f t="shared" si="4"/>
        <v>0</v>
      </c>
    </row>
    <row r="289" spans="1:8" x14ac:dyDescent="0.25">
      <c r="A289" s="1"/>
      <c r="B289" s="1"/>
      <c r="C289" s="1"/>
      <c r="D289" s="1"/>
      <c r="E289">
        <f>IFERROR(SUMIFS('Stock Received'!$F:$F,'Stock Received'!$D:$D,$A289,'Stock Received'!$E:$E,$C289),0)</f>
        <v>0</v>
      </c>
      <c r="F289">
        <f>IFERROR(SUMIFS('Arrangement Tracker'!$F:$F,'Arrangement Tracker'!$D:$D,$A289,'Arrangement Tracker'!$E:$E,$C289),0)</f>
        <v>0</v>
      </c>
      <c r="G289">
        <f>IFERROR(SUMIFS('Losses &amp; Damages'!$E:$E,'Losses &amp; Damages'!$C:$C,$A289,'Losses &amp; Damages'!$D:$D,$C289),0)</f>
        <v>0</v>
      </c>
      <c r="H289">
        <f t="shared" si="4"/>
        <v>0</v>
      </c>
    </row>
    <row r="290" spans="1:8" x14ac:dyDescent="0.25">
      <c r="A290" s="1"/>
      <c r="B290" s="1"/>
      <c r="C290" s="1"/>
      <c r="D290" s="1"/>
      <c r="E290">
        <f>IFERROR(SUMIFS('Stock Received'!$F:$F,'Stock Received'!$D:$D,$A290,'Stock Received'!$E:$E,$C290),0)</f>
        <v>0</v>
      </c>
      <c r="F290">
        <f>IFERROR(SUMIFS('Arrangement Tracker'!$F:$F,'Arrangement Tracker'!$D:$D,$A290,'Arrangement Tracker'!$E:$E,$C290),0)</f>
        <v>0</v>
      </c>
      <c r="G290">
        <f>IFERROR(SUMIFS('Losses &amp; Damages'!$E:$E,'Losses &amp; Damages'!$C:$C,$A290,'Losses &amp; Damages'!$D:$D,$C290),0)</f>
        <v>0</v>
      </c>
      <c r="H290">
        <f t="shared" si="4"/>
        <v>0</v>
      </c>
    </row>
    <row r="291" spans="1:8" x14ac:dyDescent="0.25">
      <c r="A291" s="1"/>
      <c r="B291" s="1"/>
      <c r="C291" s="1"/>
      <c r="D291" s="1"/>
      <c r="E291">
        <f>IFERROR(SUMIFS('Stock Received'!$F:$F,'Stock Received'!$D:$D,$A291,'Stock Received'!$E:$E,$C291),0)</f>
        <v>0</v>
      </c>
      <c r="F291">
        <f>IFERROR(SUMIFS('Arrangement Tracker'!$F:$F,'Arrangement Tracker'!$D:$D,$A291,'Arrangement Tracker'!$E:$E,$C291),0)</f>
        <v>0</v>
      </c>
      <c r="G291">
        <f>IFERROR(SUMIFS('Losses &amp; Damages'!$E:$E,'Losses &amp; Damages'!$C:$C,$A291,'Losses &amp; Damages'!$D:$D,$C291),0)</f>
        <v>0</v>
      </c>
      <c r="H291">
        <f t="shared" si="4"/>
        <v>0</v>
      </c>
    </row>
    <row r="292" spans="1:8" x14ac:dyDescent="0.25">
      <c r="A292" s="1"/>
      <c r="B292" s="1"/>
      <c r="C292" s="1"/>
      <c r="D292" s="1"/>
      <c r="E292">
        <f>IFERROR(SUMIFS('Stock Received'!$F:$F,'Stock Received'!$D:$D,$A292,'Stock Received'!$E:$E,$C292),0)</f>
        <v>0</v>
      </c>
      <c r="F292">
        <f>IFERROR(SUMIFS('Arrangement Tracker'!$F:$F,'Arrangement Tracker'!$D:$D,$A292,'Arrangement Tracker'!$E:$E,$C292),0)</f>
        <v>0</v>
      </c>
      <c r="G292">
        <f>IFERROR(SUMIFS('Losses &amp; Damages'!$E:$E,'Losses &amp; Damages'!$C:$C,$A292,'Losses &amp; Damages'!$D:$D,$C292),0)</f>
        <v>0</v>
      </c>
      <c r="H292">
        <f t="shared" si="4"/>
        <v>0</v>
      </c>
    </row>
    <row r="293" spans="1:8" x14ac:dyDescent="0.25">
      <c r="A293" s="1"/>
      <c r="B293" s="1"/>
      <c r="C293" s="1"/>
      <c r="D293" s="1"/>
      <c r="E293">
        <f>IFERROR(SUMIFS('Stock Received'!$F:$F,'Stock Received'!$D:$D,$A293,'Stock Received'!$E:$E,$C293),0)</f>
        <v>0</v>
      </c>
      <c r="F293">
        <f>IFERROR(SUMIFS('Arrangement Tracker'!$F:$F,'Arrangement Tracker'!$D:$D,$A293,'Arrangement Tracker'!$E:$E,$C293),0)</f>
        <v>0</v>
      </c>
      <c r="G293">
        <f>IFERROR(SUMIFS('Losses &amp; Damages'!$E:$E,'Losses &amp; Damages'!$C:$C,$A293,'Losses &amp; Damages'!$D:$D,$C293),0)</f>
        <v>0</v>
      </c>
      <c r="H293">
        <f t="shared" si="4"/>
        <v>0</v>
      </c>
    </row>
    <row r="294" spans="1:8" x14ac:dyDescent="0.25">
      <c r="A294" s="1"/>
      <c r="B294" s="1"/>
      <c r="C294" s="1"/>
      <c r="D294" s="1"/>
      <c r="E294">
        <f>IFERROR(SUMIFS('Stock Received'!$F:$F,'Stock Received'!$D:$D,$A294,'Stock Received'!$E:$E,$C294),0)</f>
        <v>0</v>
      </c>
      <c r="F294">
        <f>IFERROR(SUMIFS('Arrangement Tracker'!$F:$F,'Arrangement Tracker'!$D:$D,$A294,'Arrangement Tracker'!$E:$E,$C294),0)</f>
        <v>0</v>
      </c>
      <c r="G294">
        <f>IFERROR(SUMIFS('Losses &amp; Damages'!$E:$E,'Losses &amp; Damages'!$C:$C,$A294,'Losses &amp; Damages'!$D:$D,$C294),0)</f>
        <v>0</v>
      </c>
      <c r="H294">
        <f t="shared" si="4"/>
        <v>0</v>
      </c>
    </row>
    <row r="295" spans="1:8" x14ac:dyDescent="0.25">
      <c r="A295" s="1"/>
      <c r="B295" s="1"/>
      <c r="C295" s="1"/>
      <c r="D295" s="1"/>
      <c r="E295">
        <f>IFERROR(SUMIFS('Stock Received'!$F:$F,'Stock Received'!$D:$D,$A295,'Stock Received'!$E:$E,$C295),0)</f>
        <v>0</v>
      </c>
      <c r="F295">
        <f>IFERROR(SUMIFS('Arrangement Tracker'!$F:$F,'Arrangement Tracker'!$D:$D,$A295,'Arrangement Tracker'!$E:$E,$C295),0)</f>
        <v>0</v>
      </c>
      <c r="G295">
        <f>IFERROR(SUMIFS('Losses &amp; Damages'!$E:$E,'Losses &amp; Damages'!$C:$C,$A295,'Losses &amp; Damages'!$D:$D,$C295),0)</f>
        <v>0</v>
      </c>
      <c r="H295">
        <f t="shared" si="4"/>
        <v>0</v>
      </c>
    </row>
    <row r="296" spans="1:8" x14ac:dyDescent="0.25">
      <c r="A296" s="1"/>
      <c r="B296" s="1"/>
      <c r="C296" s="1"/>
      <c r="D296" s="1"/>
      <c r="E296">
        <f>IFERROR(SUMIFS('Stock Received'!$F:$F,'Stock Received'!$D:$D,$A296,'Stock Received'!$E:$E,$C296),0)</f>
        <v>0</v>
      </c>
      <c r="F296">
        <f>IFERROR(SUMIFS('Arrangement Tracker'!$F:$F,'Arrangement Tracker'!$D:$D,$A296,'Arrangement Tracker'!$E:$E,$C296),0)</f>
        <v>0</v>
      </c>
      <c r="G296">
        <f>IFERROR(SUMIFS('Losses &amp; Damages'!$E:$E,'Losses &amp; Damages'!$C:$C,$A296,'Losses &amp; Damages'!$D:$D,$C296),0)</f>
        <v>0</v>
      </c>
      <c r="H296">
        <f t="shared" si="4"/>
        <v>0</v>
      </c>
    </row>
    <row r="297" spans="1:8" x14ac:dyDescent="0.25">
      <c r="A297" s="1"/>
      <c r="B297" s="1"/>
      <c r="C297" s="1"/>
      <c r="D297" s="1"/>
      <c r="E297">
        <f>IFERROR(SUMIFS('Stock Received'!$F:$F,'Stock Received'!$D:$D,$A297,'Stock Received'!$E:$E,$C297),0)</f>
        <v>0</v>
      </c>
      <c r="F297">
        <f>IFERROR(SUMIFS('Arrangement Tracker'!$F:$F,'Arrangement Tracker'!$D:$D,$A297,'Arrangement Tracker'!$E:$E,$C297),0)</f>
        <v>0</v>
      </c>
      <c r="G297">
        <f>IFERROR(SUMIFS('Losses &amp; Damages'!$E:$E,'Losses &amp; Damages'!$C:$C,$A297,'Losses &amp; Damages'!$D:$D,$C297),0)</f>
        <v>0</v>
      </c>
      <c r="H297">
        <f t="shared" si="4"/>
        <v>0</v>
      </c>
    </row>
    <row r="298" spans="1:8" x14ac:dyDescent="0.25">
      <c r="A298" s="1"/>
      <c r="B298" s="1"/>
      <c r="C298" s="1"/>
      <c r="D298" s="1"/>
      <c r="E298">
        <f>IFERROR(SUMIFS('Stock Received'!$F:$F,'Stock Received'!$D:$D,$A298,'Stock Received'!$E:$E,$C298),0)</f>
        <v>0</v>
      </c>
      <c r="F298">
        <f>IFERROR(SUMIFS('Arrangement Tracker'!$F:$F,'Arrangement Tracker'!$D:$D,$A298,'Arrangement Tracker'!$E:$E,$C298),0)</f>
        <v>0</v>
      </c>
      <c r="G298">
        <f>IFERROR(SUMIFS('Losses &amp; Damages'!$E:$E,'Losses &amp; Damages'!$C:$C,$A298,'Losses &amp; Damages'!$D:$D,$C298),0)</f>
        <v>0</v>
      </c>
      <c r="H298">
        <f t="shared" si="4"/>
        <v>0</v>
      </c>
    </row>
    <row r="299" spans="1:8" x14ac:dyDescent="0.25">
      <c r="A299" s="1"/>
      <c r="B299" s="1"/>
      <c r="C299" s="1"/>
      <c r="D299" s="1"/>
      <c r="E299">
        <f>IFERROR(SUMIFS('Stock Received'!$F:$F,'Stock Received'!$D:$D,$A299,'Stock Received'!$E:$E,$C299),0)</f>
        <v>0</v>
      </c>
      <c r="F299">
        <f>IFERROR(SUMIFS('Arrangement Tracker'!$F:$F,'Arrangement Tracker'!$D:$D,$A299,'Arrangement Tracker'!$E:$E,$C299),0)</f>
        <v>0</v>
      </c>
      <c r="G299">
        <f>IFERROR(SUMIFS('Losses &amp; Damages'!$E:$E,'Losses &amp; Damages'!$C:$C,$A299,'Losses &amp; Damages'!$D:$D,$C299),0)</f>
        <v>0</v>
      </c>
      <c r="H299">
        <f t="shared" si="4"/>
        <v>0</v>
      </c>
    </row>
    <row r="300" spans="1:8" x14ac:dyDescent="0.25">
      <c r="A300" s="1"/>
      <c r="B300" s="1"/>
      <c r="C300" s="1"/>
      <c r="D300" s="1"/>
      <c r="E300">
        <f>IFERROR(SUMIFS('Stock Received'!$F:$F,'Stock Received'!$D:$D,$A300,'Stock Received'!$E:$E,$C300),0)</f>
        <v>0</v>
      </c>
      <c r="F300">
        <f>IFERROR(SUMIFS('Arrangement Tracker'!$F:$F,'Arrangement Tracker'!$D:$D,$A300,'Arrangement Tracker'!$E:$E,$C300),0)</f>
        <v>0</v>
      </c>
      <c r="G300">
        <f>IFERROR(SUMIFS('Losses &amp; Damages'!$E:$E,'Losses &amp; Damages'!$C:$C,$A300,'Losses &amp; Damages'!$D:$D,$C300),0)</f>
        <v>0</v>
      </c>
      <c r="H300">
        <f t="shared" si="4"/>
        <v>0</v>
      </c>
    </row>
    <row r="301" spans="1:8" x14ac:dyDescent="0.25">
      <c r="A301" s="1"/>
      <c r="B301" s="1"/>
      <c r="C301" s="1"/>
      <c r="D301" s="1"/>
      <c r="E301">
        <f>IFERROR(SUMIFS('Stock Received'!$F:$F,'Stock Received'!$D:$D,$A301,'Stock Received'!$E:$E,$C301),0)</f>
        <v>0</v>
      </c>
      <c r="F301">
        <f>IFERROR(SUMIFS('Arrangement Tracker'!$F:$F,'Arrangement Tracker'!$D:$D,$A301,'Arrangement Tracker'!$E:$E,$C301),0)</f>
        <v>0</v>
      </c>
      <c r="G301">
        <f>IFERROR(SUMIFS('Losses &amp; Damages'!$E:$E,'Losses &amp; Damages'!$C:$C,$A301,'Losses &amp; Damages'!$D:$D,$C301),0)</f>
        <v>0</v>
      </c>
      <c r="H301">
        <f t="shared" si="4"/>
        <v>0</v>
      </c>
    </row>
    <row r="302" spans="1:8" x14ac:dyDescent="0.25">
      <c r="A302" s="1"/>
      <c r="B302" s="1"/>
      <c r="C302" s="1"/>
      <c r="D302" s="1"/>
      <c r="E302">
        <f>IFERROR(SUMIFS('Stock Received'!$F:$F,'Stock Received'!$D:$D,$A302,'Stock Received'!$E:$E,$C302),0)</f>
        <v>0</v>
      </c>
      <c r="F302">
        <f>IFERROR(SUMIFS('Arrangement Tracker'!$F:$F,'Arrangement Tracker'!$D:$D,$A302,'Arrangement Tracker'!$E:$E,$C302),0)</f>
        <v>0</v>
      </c>
      <c r="G302">
        <f>IFERROR(SUMIFS('Losses &amp; Damages'!$E:$E,'Losses &amp; Damages'!$C:$C,$A302,'Losses &amp; Damages'!$D:$D,$C302),0)</f>
        <v>0</v>
      </c>
      <c r="H302">
        <f t="shared" si="4"/>
        <v>0</v>
      </c>
    </row>
    <row r="303" spans="1:8" x14ac:dyDescent="0.25">
      <c r="A303" s="1"/>
      <c r="B303" s="1"/>
      <c r="C303" s="1"/>
      <c r="D303" s="1"/>
      <c r="E303">
        <f>IFERROR(SUMIFS('Stock Received'!$F:$F,'Stock Received'!$D:$D,$A303,'Stock Received'!$E:$E,$C303),0)</f>
        <v>0</v>
      </c>
      <c r="F303">
        <f>IFERROR(SUMIFS('Arrangement Tracker'!$F:$F,'Arrangement Tracker'!$D:$D,$A303,'Arrangement Tracker'!$E:$E,$C303),0)</f>
        <v>0</v>
      </c>
      <c r="G303">
        <f>IFERROR(SUMIFS('Losses &amp; Damages'!$E:$E,'Losses &amp; Damages'!$C:$C,$A303,'Losses &amp; Damages'!$D:$D,$C303),0)</f>
        <v>0</v>
      </c>
      <c r="H303">
        <f t="shared" si="4"/>
        <v>0</v>
      </c>
    </row>
    <row r="304" spans="1:8" x14ac:dyDescent="0.25">
      <c r="A304" s="1"/>
      <c r="B304" s="1"/>
      <c r="C304" s="1"/>
      <c r="D304" s="1"/>
      <c r="E304">
        <f>IFERROR(SUMIFS('Stock Received'!$F:$F,'Stock Received'!$D:$D,$A304,'Stock Received'!$E:$E,$C304),0)</f>
        <v>0</v>
      </c>
      <c r="F304">
        <f>IFERROR(SUMIFS('Arrangement Tracker'!$F:$F,'Arrangement Tracker'!$D:$D,$A304,'Arrangement Tracker'!$E:$E,$C304),0)</f>
        <v>0</v>
      </c>
      <c r="G304">
        <f>IFERROR(SUMIFS('Losses &amp; Damages'!$E:$E,'Losses &amp; Damages'!$C:$C,$A304,'Losses &amp; Damages'!$D:$D,$C304),0)</f>
        <v>0</v>
      </c>
      <c r="H304">
        <f t="shared" si="4"/>
        <v>0</v>
      </c>
    </row>
    <row r="305" spans="1:8" x14ac:dyDescent="0.25">
      <c r="A305" s="1"/>
      <c r="B305" s="1"/>
      <c r="C305" s="1"/>
      <c r="D305" s="1"/>
      <c r="E305">
        <f>IFERROR(SUMIFS('Stock Received'!$F:$F,'Stock Received'!$D:$D,$A305,'Stock Received'!$E:$E,$C305),0)</f>
        <v>0</v>
      </c>
      <c r="F305">
        <f>IFERROR(SUMIFS('Arrangement Tracker'!$F:$F,'Arrangement Tracker'!$D:$D,$A305,'Arrangement Tracker'!$E:$E,$C305),0)</f>
        <v>0</v>
      </c>
      <c r="G305">
        <f>IFERROR(SUMIFS('Losses &amp; Damages'!$E:$E,'Losses &amp; Damages'!$C:$C,$A305,'Losses &amp; Damages'!$D:$D,$C305),0)</f>
        <v>0</v>
      </c>
      <c r="H305">
        <f t="shared" si="4"/>
        <v>0</v>
      </c>
    </row>
    <row r="306" spans="1:8" x14ac:dyDescent="0.25">
      <c r="A306" s="1"/>
      <c r="B306" s="1"/>
      <c r="C306" s="1"/>
      <c r="D306" s="1"/>
      <c r="E306">
        <f>IFERROR(SUMIFS('Stock Received'!$F:$F,'Stock Received'!$D:$D,$A306,'Stock Received'!$E:$E,$C306),0)</f>
        <v>0</v>
      </c>
      <c r="F306">
        <f>IFERROR(SUMIFS('Arrangement Tracker'!$F:$F,'Arrangement Tracker'!$D:$D,$A306,'Arrangement Tracker'!$E:$E,$C306),0)</f>
        <v>0</v>
      </c>
      <c r="G306">
        <f>IFERROR(SUMIFS('Losses &amp; Damages'!$E:$E,'Losses &amp; Damages'!$C:$C,$A306,'Losses &amp; Damages'!$D:$D,$C306),0)</f>
        <v>0</v>
      </c>
      <c r="H306">
        <f t="shared" si="4"/>
        <v>0</v>
      </c>
    </row>
    <row r="307" spans="1:8" x14ac:dyDescent="0.25">
      <c r="A307" s="1"/>
      <c r="B307" s="1"/>
      <c r="C307" s="1"/>
      <c r="D307" s="1"/>
      <c r="E307">
        <f>IFERROR(SUMIFS('Stock Received'!$F:$F,'Stock Received'!$D:$D,$A307,'Stock Received'!$E:$E,$C307),0)</f>
        <v>0</v>
      </c>
      <c r="F307">
        <f>IFERROR(SUMIFS('Arrangement Tracker'!$F:$F,'Arrangement Tracker'!$D:$D,$A307,'Arrangement Tracker'!$E:$E,$C307),0)</f>
        <v>0</v>
      </c>
      <c r="G307">
        <f>IFERROR(SUMIFS('Losses &amp; Damages'!$E:$E,'Losses &amp; Damages'!$C:$C,$A307,'Losses &amp; Damages'!$D:$D,$C307),0)</f>
        <v>0</v>
      </c>
      <c r="H307">
        <f t="shared" si="4"/>
        <v>0</v>
      </c>
    </row>
    <row r="308" spans="1:8" x14ac:dyDescent="0.25">
      <c r="A308" s="1"/>
      <c r="B308" s="1"/>
      <c r="C308" s="1"/>
      <c r="D308" s="1"/>
      <c r="E308">
        <f>IFERROR(SUMIFS('Stock Received'!$F:$F,'Stock Received'!$D:$D,$A308,'Stock Received'!$E:$E,$C308),0)</f>
        <v>0</v>
      </c>
      <c r="F308">
        <f>IFERROR(SUMIFS('Arrangement Tracker'!$F:$F,'Arrangement Tracker'!$D:$D,$A308,'Arrangement Tracker'!$E:$E,$C308),0)</f>
        <v>0</v>
      </c>
      <c r="G308">
        <f>IFERROR(SUMIFS('Losses &amp; Damages'!$E:$E,'Losses &amp; Damages'!$C:$C,$A308,'Losses &amp; Damages'!$D:$D,$C308),0)</f>
        <v>0</v>
      </c>
      <c r="H308">
        <f t="shared" si="4"/>
        <v>0</v>
      </c>
    </row>
    <row r="309" spans="1:8" x14ac:dyDescent="0.25">
      <c r="A309" s="1"/>
      <c r="B309" s="1"/>
      <c r="C309" s="1"/>
      <c r="D309" s="1"/>
      <c r="E309">
        <f>IFERROR(SUMIFS('Stock Received'!$F:$F,'Stock Received'!$D:$D,$A309,'Stock Received'!$E:$E,$C309),0)</f>
        <v>0</v>
      </c>
      <c r="F309">
        <f>IFERROR(SUMIFS('Arrangement Tracker'!$F:$F,'Arrangement Tracker'!$D:$D,$A309,'Arrangement Tracker'!$E:$E,$C309),0)</f>
        <v>0</v>
      </c>
      <c r="G309">
        <f>IFERROR(SUMIFS('Losses &amp; Damages'!$E:$E,'Losses &amp; Damages'!$C:$C,$A309,'Losses &amp; Damages'!$D:$D,$C309),0)</f>
        <v>0</v>
      </c>
      <c r="H309">
        <f t="shared" si="4"/>
        <v>0</v>
      </c>
    </row>
    <row r="310" spans="1:8" x14ac:dyDescent="0.25">
      <c r="A310" s="1"/>
      <c r="B310" s="1"/>
      <c r="C310" s="1"/>
      <c r="D310" s="1"/>
      <c r="E310">
        <f>IFERROR(SUMIFS('Stock Received'!$F:$F,'Stock Received'!$D:$D,$A310,'Stock Received'!$E:$E,$C310),0)</f>
        <v>0</v>
      </c>
      <c r="F310">
        <f>IFERROR(SUMIFS('Arrangement Tracker'!$F:$F,'Arrangement Tracker'!$D:$D,$A310,'Arrangement Tracker'!$E:$E,$C310),0)</f>
        <v>0</v>
      </c>
      <c r="G310">
        <f>IFERROR(SUMIFS('Losses &amp; Damages'!$E:$E,'Losses &amp; Damages'!$C:$C,$A310,'Losses &amp; Damages'!$D:$D,$C310),0)</f>
        <v>0</v>
      </c>
      <c r="H310">
        <f t="shared" si="4"/>
        <v>0</v>
      </c>
    </row>
    <row r="311" spans="1:8" x14ac:dyDescent="0.25">
      <c r="A311" s="1"/>
      <c r="B311" s="1"/>
      <c r="C311" s="1"/>
      <c r="D311" s="1"/>
      <c r="E311">
        <f>IFERROR(SUMIFS('Stock Received'!$F:$F,'Stock Received'!$D:$D,$A311,'Stock Received'!$E:$E,$C311),0)</f>
        <v>0</v>
      </c>
      <c r="F311">
        <f>IFERROR(SUMIFS('Arrangement Tracker'!$F:$F,'Arrangement Tracker'!$D:$D,$A311,'Arrangement Tracker'!$E:$E,$C311),0)</f>
        <v>0</v>
      </c>
      <c r="G311">
        <f>IFERROR(SUMIFS('Losses &amp; Damages'!$E:$E,'Losses &amp; Damages'!$C:$C,$A311,'Losses &amp; Damages'!$D:$D,$C311),0)</f>
        <v>0</v>
      </c>
      <c r="H311">
        <f t="shared" si="4"/>
        <v>0</v>
      </c>
    </row>
    <row r="312" spans="1:8" x14ac:dyDescent="0.25">
      <c r="A312" s="1"/>
      <c r="B312" s="1"/>
      <c r="C312" s="1"/>
      <c r="D312" s="1"/>
      <c r="E312">
        <f>IFERROR(SUMIFS('Stock Received'!$F:$F,'Stock Received'!$D:$D,$A312,'Stock Received'!$E:$E,$C312),0)</f>
        <v>0</v>
      </c>
      <c r="F312">
        <f>IFERROR(SUMIFS('Arrangement Tracker'!$F:$F,'Arrangement Tracker'!$D:$D,$A312,'Arrangement Tracker'!$E:$E,$C312),0)</f>
        <v>0</v>
      </c>
      <c r="G312">
        <f>IFERROR(SUMIFS('Losses &amp; Damages'!$E:$E,'Losses &amp; Damages'!$C:$C,$A312,'Losses &amp; Damages'!$D:$D,$C312),0)</f>
        <v>0</v>
      </c>
      <c r="H312">
        <f t="shared" si="4"/>
        <v>0</v>
      </c>
    </row>
    <row r="313" spans="1:8" x14ac:dyDescent="0.25">
      <c r="A313" s="1"/>
      <c r="B313" s="1"/>
      <c r="C313" s="1"/>
      <c r="D313" s="1"/>
      <c r="E313">
        <f>IFERROR(SUMIFS('Stock Received'!$F:$F,'Stock Received'!$D:$D,$A313,'Stock Received'!$E:$E,$C313),0)</f>
        <v>0</v>
      </c>
      <c r="F313">
        <f>IFERROR(SUMIFS('Arrangement Tracker'!$F:$F,'Arrangement Tracker'!$D:$D,$A313,'Arrangement Tracker'!$E:$E,$C313),0)</f>
        <v>0</v>
      </c>
      <c r="G313">
        <f>IFERROR(SUMIFS('Losses &amp; Damages'!$E:$E,'Losses &amp; Damages'!$C:$C,$A313,'Losses &amp; Damages'!$D:$D,$C313),0)</f>
        <v>0</v>
      </c>
      <c r="H313">
        <f t="shared" si="4"/>
        <v>0</v>
      </c>
    </row>
    <row r="314" spans="1:8" x14ac:dyDescent="0.25">
      <c r="A314" s="1"/>
      <c r="B314" s="1"/>
      <c r="C314" s="1"/>
      <c r="D314" s="1"/>
      <c r="E314">
        <f>IFERROR(SUMIFS('Stock Received'!$F:$F,'Stock Received'!$D:$D,$A314,'Stock Received'!$E:$E,$C314),0)</f>
        <v>0</v>
      </c>
      <c r="F314">
        <f>IFERROR(SUMIFS('Arrangement Tracker'!$F:$F,'Arrangement Tracker'!$D:$D,$A314,'Arrangement Tracker'!$E:$E,$C314),0)</f>
        <v>0</v>
      </c>
      <c r="G314">
        <f>IFERROR(SUMIFS('Losses &amp; Damages'!$E:$E,'Losses &amp; Damages'!$C:$C,$A314,'Losses &amp; Damages'!$D:$D,$C314),0)</f>
        <v>0</v>
      </c>
      <c r="H314">
        <f t="shared" si="4"/>
        <v>0</v>
      </c>
    </row>
    <row r="315" spans="1:8" x14ac:dyDescent="0.25">
      <c r="A315" s="1"/>
      <c r="B315" s="1"/>
      <c r="C315" s="1"/>
      <c r="D315" s="1"/>
      <c r="E315">
        <f>IFERROR(SUMIFS('Stock Received'!$F:$F,'Stock Received'!$D:$D,$A315,'Stock Received'!$E:$E,$C315),0)</f>
        <v>0</v>
      </c>
      <c r="F315">
        <f>IFERROR(SUMIFS('Arrangement Tracker'!$F:$F,'Arrangement Tracker'!$D:$D,$A315,'Arrangement Tracker'!$E:$E,$C315),0)</f>
        <v>0</v>
      </c>
      <c r="G315">
        <f>IFERROR(SUMIFS('Losses &amp; Damages'!$E:$E,'Losses &amp; Damages'!$C:$C,$A315,'Losses &amp; Damages'!$D:$D,$C315),0)</f>
        <v>0</v>
      </c>
      <c r="H315">
        <f t="shared" si="4"/>
        <v>0</v>
      </c>
    </row>
    <row r="316" spans="1:8" x14ac:dyDescent="0.25">
      <c r="A316" s="1"/>
      <c r="B316" s="1"/>
      <c r="C316" s="1"/>
      <c r="D316" s="1"/>
      <c r="E316">
        <f>IFERROR(SUMIFS('Stock Received'!$F:$F,'Stock Received'!$D:$D,$A316,'Stock Received'!$E:$E,$C316),0)</f>
        <v>0</v>
      </c>
      <c r="F316">
        <f>IFERROR(SUMIFS('Arrangement Tracker'!$F:$F,'Arrangement Tracker'!$D:$D,$A316,'Arrangement Tracker'!$E:$E,$C316),0)</f>
        <v>0</v>
      </c>
      <c r="G316">
        <f>IFERROR(SUMIFS('Losses &amp; Damages'!$E:$E,'Losses &amp; Damages'!$C:$C,$A316,'Losses &amp; Damages'!$D:$D,$C316),0)</f>
        <v>0</v>
      </c>
      <c r="H316">
        <f t="shared" si="4"/>
        <v>0</v>
      </c>
    </row>
    <row r="317" spans="1:8" x14ac:dyDescent="0.25">
      <c r="A317" s="1"/>
      <c r="B317" s="1"/>
      <c r="C317" s="1"/>
      <c r="D317" s="1"/>
      <c r="E317">
        <f>IFERROR(SUMIFS('Stock Received'!$F:$F,'Stock Received'!$D:$D,$A317,'Stock Received'!$E:$E,$C317),0)</f>
        <v>0</v>
      </c>
      <c r="F317">
        <f>IFERROR(SUMIFS('Arrangement Tracker'!$F:$F,'Arrangement Tracker'!$D:$D,$A317,'Arrangement Tracker'!$E:$E,$C317),0)</f>
        <v>0</v>
      </c>
      <c r="G317">
        <f>IFERROR(SUMIFS('Losses &amp; Damages'!$E:$E,'Losses &amp; Damages'!$C:$C,$A317,'Losses &amp; Damages'!$D:$D,$C317),0)</f>
        <v>0</v>
      </c>
      <c r="H317">
        <f t="shared" si="4"/>
        <v>0</v>
      </c>
    </row>
    <row r="318" spans="1:8" x14ac:dyDescent="0.25">
      <c r="A318" s="1"/>
      <c r="B318" s="1"/>
      <c r="C318" s="1"/>
      <c r="D318" s="1"/>
      <c r="E318">
        <f>IFERROR(SUMIFS('Stock Received'!$F:$F,'Stock Received'!$D:$D,$A318,'Stock Received'!$E:$E,$C318),0)</f>
        <v>0</v>
      </c>
      <c r="F318">
        <f>IFERROR(SUMIFS('Arrangement Tracker'!$F:$F,'Arrangement Tracker'!$D:$D,$A318,'Arrangement Tracker'!$E:$E,$C318),0)</f>
        <v>0</v>
      </c>
      <c r="G318">
        <f>IFERROR(SUMIFS('Losses &amp; Damages'!$E:$E,'Losses &amp; Damages'!$C:$C,$A318,'Losses &amp; Damages'!$D:$D,$C318),0)</f>
        <v>0</v>
      </c>
      <c r="H318">
        <f t="shared" si="4"/>
        <v>0</v>
      </c>
    </row>
    <row r="319" spans="1:8" x14ac:dyDescent="0.25">
      <c r="A319" s="1"/>
      <c r="B319" s="1"/>
      <c r="C319" s="1"/>
      <c r="D319" s="1"/>
      <c r="E319">
        <f>IFERROR(SUMIFS('Stock Received'!$F:$F,'Stock Received'!$D:$D,$A319,'Stock Received'!$E:$E,$C319),0)</f>
        <v>0</v>
      </c>
      <c r="F319">
        <f>IFERROR(SUMIFS('Arrangement Tracker'!$F:$F,'Arrangement Tracker'!$D:$D,$A319,'Arrangement Tracker'!$E:$E,$C319),0)</f>
        <v>0</v>
      </c>
      <c r="G319">
        <f>IFERROR(SUMIFS('Losses &amp; Damages'!$E:$E,'Losses &amp; Damages'!$C:$C,$A319,'Losses &amp; Damages'!$D:$D,$C319),0)</f>
        <v>0</v>
      </c>
      <c r="H319">
        <f t="shared" si="4"/>
        <v>0</v>
      </c>
    </row>
    <row r="320" spans="1:8" x14ac:dyDescent="0.25">
      <c r="A320" s="1"/>
      <c r="B320" s="1"/>
      <c r="C320" s="1"/>
      <c r="D320" s="1"/>
      <c r="E320">
        <f>IFERROR(SUMIFS('Stock Received'!$F:$F,'Stock Received'!$D:$D,$A320,'Stock Received'!$E:$E,$C320),0)</f>
        <v>0</v>
      </c>
      <c r="F320">
        <f>IFERROR(SUMIFS('Arrangement Tracker'!$F:$F,'Arrangement Tracker'!$D:$D,$A320,'Arrangement Tracker'!$E:$E,$C320),0)</f>
        <v>0</v>
      </c>
      <c r="G320">
        <f>IFERROR(SUMIFS('Losses &amp; Damages'!$E:$E,'Losses &amp; Damages'!$C:$C,$A320,'Losses &amp; Damages'!$D:$D,$C320),0)</f>
        <v>0</v>
      </c>
      <c r="H320">
        <f t="shared" si="4"/>
        <v>0</v>
      </c>
    </row>
    <row r="321" spans="1:8" x14ac:dyDescent="0.25">
      <c r="A321" s="1"/>
      <c r="B321" s="1"/>
      <c r="C321" s="1"/>
      <c r="D321" s="1"/>
      <c r="E321">
        <f>IFERROR(SUMIFS('Stock Received'!$F:$F,'Stock Received'!$D:$D,$A321,'Stock Received'!$E:$E,$C321),0)</f>
        <v>0</v>
      </c>
      <c r="F321">
        <f>IFERROR(SUMIFS('Arrangement Tracker'!$F:$F,'Arrangement Tracker'!$D:$D,$A321,'Arrangement Tracker'!$E:$E,$C321),0)</f>
        <v>0</v>
      </c>
      <c r="G321">
        <f>IFERROR(SUMIFS('Losses &amp; Damages'!$E:$E,'Losses &amp; Damages'!$C:$C,$A321,'Losses &amp; Damages'!$D:$D,$C321),0)</f>
        <v>0</v>
      </c>
      <c r="H321">
        <f t="shared" si="4"/>
        <v>0</v>
      </c>
    </row>
    <row r="322" spans="1:8" x14ac:dyDescent="0.25">
      <c r="A322" s="1"/>
      <c r="B322" s="1"/>
      <c r="C322" s="1"/>
      <c r="D322" s="1"/>
      <c r="E322">
        <f>IFERROR(SUMIFS('Stock Received'!$F:$F,'Stock Received'!$D:$D,$A322,'Stock Received'!$E:$E,$C322),0)</f>
        <v>0</v>
      </c>
      <c r="F322">
        <f>IFERROR(SUMIFS('Arrangement Tracker'!$F:$F,'Arrangement Tracker'!$D:$D,$A322,'Arrangement Tracker'!$E:$E,$C322),0)</f>
        <v>0</v>
      </c>
      <c r="G322">
        <f>IFERROR(SUMIFS('Losses &amp; Damages'!$E:$E,'Losses &amp; Damages'!$C:$C,$A322,'Losses &amp; Damages'!$D:$D,$C322),0)</f>
        <v>0</v>
      </c>
      <c r="H322">
        <f t="shared" ref="H322:H385" si="5">IFERROR(D322+E322-F322-G322,0)</f>
        <v>0</v>
      </c>
    </row>
    <row r="323" spans="1:8" x14ac:dyDescent="0.25">
      <c r="A323" s="1"/>
      <c r="B323" s="1"/>
      <c r="C323" s="1"/>
      <c r="D323" s="1"/>
      <c r="E323">
        <f>IFERROR(SUMIFS('Stock Received'!$F:$F,'Stock Received'!$D:$D,$A323,'Stock Received'!$E:$E,$C323),0)</f>
        <v>0</v>
      </c>
      <c r="F323">
        <f>IFERROR(SUMIFS('Arrangement Tracker'!$F:$F,'Arrangement Tracker'!$D:$D,$A323,'Arrangement Tracker'!$E:$E,$C323),0)</f>
        <v>0</v>
      </c>
      <c r="G323">
        <f>IFERROR(SUMIFS('Losses &amp; Damages'!$E:$E,'Losses &amp; Damages'!$C:$C,$A323,'Losses &amp; Damages'!$D:$D,$C323),0)</f>
        <v>0</v>
      </c>
      <c r="H323">
        <f t="shared" si="5"/>
        <v>0</v>
      </c>
    </row>
    <row r="324" spans="1:8" x14ac:dyDescent="0.25">
      <c r="A324" s="1"/>
      <c r="B324" s="1"/>
      <c r="C324" s="1"/>
      <c r="D324" s="1"/>
      <c r="E324">
        <f>IFERROR(SUMIFS('Stock Received'!$F:$F,'Stock Received'!$D:$D,$A324,'Stock Received'!$E:$E,$C324),0)</f>
        <v>0</v>
      </c>
      <c r="F324">
        <f>IFERROR(SUMIFS('Arrangement Tracker'!$F:$F,'Arrangement Tracker'!$D:$D,$A324,'Arrangement Tracker'!$E:$E,$C324),0)</f>
        <v>0</v>
      </c>
      <c r="G324">
        <f>IFERROR(SUMIFS('Losses &amp; Damages'!$E:$E,'Losses &amp; Damages'!$C:$C,$A324,'Losses &amp; Damages'!$D:$D,$C324),0)</f>
        <v>0</v>
      </c>
      <c r="H324">
        <f t="shared" si="5"/>
        <v>0</v>
      </c>
    </row>
    <row r="325" spans="1:8" x14ac:dyDescent="0.25">
      <c r="A325" s="1"/>
      <c r="B325" s="1"/>
      <c r="C325" s="1"/>
      <c r="D325" s="1"/>
      <c r="E325">
        <f>IFERROR(SUMIFS('Stock Received'!$F:$F,'Stock Received'!$D:$D,$A325,'Stock Received'!$E:$E,$C325),0)</f>
        <v>0</v>
      </c>
      <c r="F325">
        <f>IFERROR(SUMIFS('Arrangement Tracker'!$F:$F,'Arrangement Tracker'!$D:$D,$A325,'Arrangement Tracker'!$E:$E,$C325),0)</f>
        <v>0</v>
      </c>
      <c r="G325">
        <f>IFERROR(SUMIFS('Losses &amp; Damages'!$E:$E,'Losses &amp; Damages'!$C:$C,$A325,'Losses &amp; Damages'!$D:$D,$C325),0)</f>
        <v>0</v>
      </c>
      <c r="H325">
        <f t="shared" si="5"/>
        <v>0</v>
      </c>
    </row>
    <row r="326" spans="1:8" x14ac:dyDescent="0.25">
      <c r="A326" s="1"/>
      <c r="B326" s="1"/>
      <c r="C326" s="1"/>
      <c r="D326" s="1"/>
      <c r="E326">
        <f>IFERROR(SUMIFS('Stock Received'!$F:$F,'Stock Received'!$D:$D,$A326,'Stock Received'!$E:$E,$C326),0)</f>
        <v>0</v>
      </c>
      <c r="F326">
        <f>IFERROR(SUMIFS('Arrangement Tracker'!$F:$F,'Arrangement Tracker'!$D:$D,$A326,'Arrangement Tracker'!$E:$E,$C326),0)</f>
        <v>0</v>
      </c>
      <c r="G326">
        <f>IFERROR(SUMIFS('Losses &amp; Damages'!$E:$E,'Losses &amp; Damages'!$C:$C,$A326,'Losses &amp; Damages'!$D:$D,$C326),0)</f>
        <v>0</v>
      </c>
      <c r="H326">
        <f t="shared" si="5"/>
        <v>0</v>
      </c>
    </row>
    <row r="327" spans="1:8" x14ac:dyDescent="0.25">
      <c r="A327" s="1"/>
      <c r="B327" s="1"/>
      <c r="C327" s="1"/>
      <c r="D327" s="1"/>
      <c r="E327">
        <f>IFERROR(SUMIFS('Stock Received'!$F:$F,'Stock Received'!$D:$D,$A327,'Stock Received'!$E:$E,$C327),0)</f>
        <v>0</v>
      </c>
      <c r="F327">
        <f>IFERROR(SUMIFS('Arrangement Tracker'!$F:$F,'Arrangement Tracker'!$D:$D,$A327,'Arrangement Tracker'!$E:$E,$C327),0)</f>
        <v>0</v>
      </c>
      <c r="G327">
        <f>IFERROR(SUMIFS('Losses &amp; Damages'!$E:$E,'Losses &amp; Damages'!$C:$C,$A327,'Losses &amp; Damages'!$D:$D,$C327),0)</f>
        <v>0</v>
      </c>
      <c r="H327">
        <f t="shared" si="5"/>
        <v>0</v>
      </c>
    </row>
    <row r="328" spans="1:8" x14ac:dyDescent="0.25">
      <c r="A328" s="1"/>
      <c r="B328" s="1"/>
      <c r="C328" s="1"/>
      <c r="D328" s="1"/>
      <c r="E328">
        <f>IFERROR(SUMIFS('Stock Received'!$F:$F,'Stock Received'!$D:$D,$A328,'Stock Received'!$E:$E,$C328),0)</f>
        <v>0</v>
      </c>
      <c r="F328">
        <f>IFERROR(SUMIFS('Arrangement Tracker'!$F:$F,'Arrangement Tracker'!$D:$D,$A328,'Arrangement Tracker'!$E:$E,$C328),0)</f>
        <v>0</v>
      </c>
      <c r="G328">
        <f>IFERROR(SUMIFS('Losses &amp; Damages'!$E:$E,'Losses &amp; Damages'!$C:$C,$A328,'Losses &amp; Damages'!$D:$D,$C328),0)</f>
        <v>0</v>
      </c>
      <c r="H328">
        <f t="shared" si="5"/>
        <v>0</v>
      </c>
    </row>
    <row r="329" spans="1:8" x14ac:dyDescent="0.25">
      <c r="A329" s="1"/>
      <c r="B329" s="1"/>
      <c r="C329" s="1"/>
      <c r="D329" s="1"/>
      <c r="E329">
        <f>IFERROR(SUMIFS('Stock Received'!$F:$F,'Stock Received'!$D:$D,$A329,'Stock Received'!$E:$E,$C329),0)</f>
        <v>0</v>
      </c>
      <c r="F329">
        <f>IFERROR(SUMIFS('Arrangement Tracker'!$F:$F,'Arrangement Tracker'!$D:$D,$A329,'Arrangement Tracker'!$E:$E,$C329),0)</f>
        <v>0</v>
      </c>
      <c r="G329">
        <f>IFERROR(SUMIFS('Losses &amp; Damages'!$E:$E,'Losses &amp; Damages'!$C:$C,$A329,'Losses &amp; Damages'!$D:$D,$C329),0)</f>
        <v>0</v>
      </c>
      <c r="H329">
        <f t="shared" si="5"/>
        <v>0</v>
      </c>
    </row>
    <row r="330" spans="1:8" x14ac:dyDescent="0.25">
      <c r="A330" s="1"/>
      <c r="B330" s="1"/>
      <c r="C330" s="1"/>
      <c r="D330" s="1"/>
      <c r="E330">
        <f>IFERROR(SUMIFS('Stock Received'!$F:$F,'Stock Received'!$D:$D,$A330,'Stock Received'!$E:$E,$C330),0)</f>
        <v>0</v>
      </c>
      <c r="F330">
        <f>IFERROR(SUMIFS('Arrangement Tracker'!$F:$F,'Arrangement Tracker'!$D:$D,$A330,'Arrangement Tracker'!$E:$E,$C330),0)</f>
        <v>0</v>
      </c>
      <c r="G330">
        <f>IFERROR(SUMIFS('Losses &amp; Damages'!$E:$E,'Losses &amp; Damages'!$C:$C,$A330,'Losses &amp; Damages'!$D:$D,$C330),0)</f>
        <v>0</v>
      </c>
      <c r="H330">
        <f t="shared" si="5"/>
        <v>0</v>
      </c>
    </row>
    <row r="331" spans="1:8" x14ac:dyDescent="0.25">
      <c r="A331" s="1"/>
      <c r="B331" s="1"/>
      <c r="C331" s="1"/>
      <c r="D331" s="1"/>
      <c r="E331">
        <f>IFERROR(SUMIFS('Stock Received'!$F:$F,'Stock Received'!$D:$D,$A331,'Stock Received'!$E:$E,$C331),0)</f>
        <v>0</v>
      </c>
      <c r="F331">
        <f>IFERROR(SUMIFS('Arrangement Tracker'!$F:$F,'Arrangement Tracker'!$D:$D,$A331,'Arrangement Tracker'!$E:$E,$C331),0)</f>
        <v>0</v>
      </c>
      <c r="G331">
        <f>IFERROR(SUMIFS('Losses &amp; Damages'!$E:$E,'Losses &amp; Damages'!$C:$C,$A331,'Losses &amp; Damages'!$D:$D,$C331),0)</f>
        <v>0</v>
      </c>
      <c r="H331">
        <f t="shared" si="5"/>
        <v>0</v>
      </c>
    </row>
    <row r="332" spans="1:8" x14ac:dyDescent="0.25">
      <c r="A332" s="1"/>
      <c r="B332" s="1"/>
      <c r="C332" s="1"/>
      <c r="D332" s="1"/>
      <c r="E332">
        <f>IFERROR(SUMIFS('Stock Received'!$F:$F,'Stock Received'!$D:$D,$A332,'Stock Received'!$E:$E,$C332),0)</f>
        <v>0</v>
      </c>
      <c r="F332">
        <f>IFERROR(SUMIFS('Arrangement Tracker'!$F:$F,'Arrangement Tracker'!$D:$D,$A332,'Arrangement Tracker'!$E:$E,$C332),0)</f>
        <v>0</v>
      </c>
      <c r="G332">
        <f>IFERROR(SUMIFS('Losses &amp; Damages'!$E:$E,'Losses &amp; Damages'!$C:$C,$A332,'Losses &amp; Damages'!$D:$D,$C332),0)</f>
        <v>0</v>
      </c>
      <c r="H332">
        <f t="shared" si="5"/>
        <v>0</v>
      </c>
    </row>
    <row r="333" spans="1:8" x14ac:dyDescent="0.25">
      <c r="A333" s="1"/>
      <c r="B333" s="1"/>
      <c r="C333" s="1"/>
      <c r="D333" s="1"/>
      <c r="E333">
        <f>IFERROR(SUMIFS('Stock Received'!$F:$F,'Stock Received'!$D:$D,$A333,'Stock Received'!$E:$E,$C333),0)</f>
        <v>0</v>
      </c>
      <c r="F333">
        <f>IFERROR(SUMIFS('Arrangement Tracker'!$F:$F,'Arrangement Tracker'!$D:$D,$A333,'Arrangement Tracker'!$E:$E,$C333),0)</f>
        <v>0</v>
      </c>
      <c r="G333">
        <f>IFERROR(SUMIFS('Losses &amp; Damages'!$E:$E,'Losses &amp; Damages'!$C:$C,$A333,'Losses &amp; Damages'!$D:$D,$C333),0)</f>
        <v>0</v>
      </c>
      <c r="H333">
        <f t="shared" si="5"/>
        <v>0</v>
      </c>
    </row>
    <row r="334" spans="1:8" x14ac:dyDescent="0.25">
      <c r="A334" s="1"/>
      <c r="B334" s="1"/>
      <c r="C334" s="1"/>
      <c r="D334" s="1"/>
      <c r="E334">
        <f>IFERROR(SUMIFS('Stock Received'!$F:$F,'Stock Received'!$D:$D,$A334,'Stock Received'!$E:$E,$C334),0)</f>
        <v>0</v>
      </c>
      <c r="F334">
        <f>IFERROR(SUMIFS('Arrangement Tracker'!$F:$F,'Arrangement Tracker'!$D:$D,$A334,'Arrangement Tracker'!$E:$E,$C334),0)</f>
        <v>0</v>
      </c>
      <c r="G334">
        <f>IFERROR(SUMIFS('Losses &amp; Damages'!$E:$E,'Losses &amp; Damages'!$C:$C,$A334,'Losses &amp; Damages'!$D:$D,$C334),0)</f>
        <v>0</v>
      </c>
      <c r="H334">
        <f t="shared" si="5"/>
        <v>0</v>
      </c>
    </row>
    <row r="335" spans="1:8" x14ac:dyDescent="0.25">
      <c r="A335" s="1"/>
      <c r="B335" s="1"/>
      <c r="C335" s="1"/>
      <c r="D335" s="1"/>
      <c r="E335">
        <f>IFERROR(SUMIFS('Stock Received'!$F:$F,'Stock Received'!$D:$D,$A335,'Stock Received'!$E:$E,$C335),0)</f>
        <v>0</v>
      </c>
      <c r="F335">
        <f>IFERROR(SUMIFS('Arrangement Tracker'!$F:$F,'Arrangement Tracker'!$D:$D,$A335,'Arrangement Tracker'!$E:$E,$C335),0)</f>
        <v>0</v>
      </c>
      <c r="G335">
        <f>IFERROR(SUMIFS('Losses &amp; Damages'!$E:$E,'Losses &amp; Damages'!$C:$C,$A335,'Losses &amp; Damages'!$D:$D,$C335),0)</f>
        <v>0</v>
      </c>
      <c r="H335">
        <f t="shared" si="5"/>
        <v>0</v>
      </c>
    </row>
    <row r="336" spans="1:8" x14ac:dyDescent="0.25">
      <c r="A336" s="1"/>
      <c r="B336" s="1"/>
      <c r="C336" s="1"/>
      <c r="D336" s="1"/>
      <c r="E336">
        <f>IFERROR(SUMIFS('Stock Received'!$F:$F,'Stock Received'!$D:$D,$A336,'Stock Received'!$E:$E,$C336),0)</f>
        <v>0</v>
      </c>
      <c r="F336">
        <f>IFERROR(SUMIFS('Arrangement Tracker'!$F:$F,'Arrangement Tracker'!$D:$D,$A336,'Arrangement Tracker'!$E:$E,$C336),0)</f>
        <v>0</v>
      </c>
      <c r="G336">
        <f>IFERROR(SUMIFS('Losses &amp; Damages'!$E:$E,'Losses &amp; Damages'!$C:$C,$A336,'Losses &amp; Damages'!$D:$D,$C336),0)</f>
        <v>0</v>
      </c>
      <c r="H336">
        <f t="shared" si="5"/>
        <v>0</v>
      </c>
    </row>
    <row r="337" spans="1:8" x14ac:dyDescent="0.25">
      <c r="A337" s="1"/>
      <c r="B337" s="1"/>
      <c r="C337" s="1"/>
      <c r="D337" s="1"/>
      <c r="E337">
        <f>IFERROR(SUMIFS('Stock Received'!$F:$F,'Stock Received'!$D:$D,$A337,'Stock Received'!$E:$E,$C337),0)</f>
        <v>0</v>
      </c>
      <c r="F337">
        <f>IFERROR(SUMIFS('Arrangement Tracker'!$F:$F,'Arrangement Tracker'!$D:$D,$A337,'Arrangement Tracker'!$E:$E,$C337),0)</f>
        <v>0</v>
      </c>
      <c r="G337">
        <f>IFERROR(SUMIFS('Losses &amp; Damages'!$E:$E,'Losses &amp; Damages'!$C:$C,$A337,'Losses &amp; Damages'!$D:$D,$C337),0)</f>
        <v>0</v>
      </c>
      <c r="H337">
        <f t="shared" si="5"/>
        <v>0</v>
      </c>
    </row>
    <row r="338" spans="1:8" x14ac:dyDescent="0.25">
      <c r="A338" s="1"/>
      <c r="B338" s="1"/>
      <c r="C338" s="1"/>
      <c r="D338" s="1"/>
      <c r="E338">
        <f>IFERROR(SUMIFS('Stock Received'!$F:$F,'Stock Received'!$D:$D,$A338,'Stock Received'!$E:$E,$C338),0)</f>
        <v>0</v>
      </c>
      <c r="F338">
        <f>IFERROR(SUMIFS('Arrangement Tracker'!$F:$F,'Arrangement Tracker'!$D:$D,$A338,'Arrangement Tracker'!$E:$E,$C338),0)</f>
        <v>0</v>
      </c>
      <c r="G338">
        <f>IFERROR(SUMIFS('Losses &amp; Damages'!$E:$E,'Losses &amp; Damages'!$C:$C,$A338,'Losses &amp; Damages'!$D:$D,$C338),0)</f>
        <v>0</v>
      </c>
      <c r="H338">
        <f t="shared" si="5"/>
        <v>0</v>
      </c>
    </row>
    <row r="339" spans="1:8" x14ac:dyDescent="0.25">
      <c r="A339" s="1"/>
      <c r="B339" s="1"/>
      <c r="C339" s="1"/>
      <c r="D339" s="1"/>
      <c r="E339">
        <f>IFERROR(SUMIFS('Stock Received'!$F:$F,'Stock Received'!$D:$D,$A339,'Stock Received'!$E:$E,$C339),0)</f>
        <v>0</v>
      </c>
      <c r="F339">
        <f>IFERROR(SUMIFS('Arrangement Tracker'!$F:$F,'Arrangement Tracker'!$D:$D,$A339,'Arrangement Tracker'!$E:$E,$C339),0)</f>
        <v>0</v>
      </c>
      <c r="G339">
        <f>IFERROR(SUMIFS('Losses &amp; Damages'!$E:$E,'Losses &amp; Damages'!$C:$C,$A339,'Losses &amp; Damages'!$D:$D,$C339),0)</f>
        <v>0</v>
      </c>
      <c r="H339">
        <f t="shared" si="5"/>
        <v>0</v>
      </c>
    </row>
    <row r="340" spans="1:8" x14ac:dyDescent="0.25">
      <c r="A340" s="1"/>
      <c r="B340" s="1"/>
      <c r="C340" s="1"/>
      <c r="D340" s="1"/>
      <c r="E340">
        <f>IFERROR(SUMIFS('Stock Received'!$F:$F,'Stock Received'!$D:$D,$A340,'Stock Received'!$E:$E,$C340),0)</f>
        <v>0</v>
      </c>
      <c r="F340">
        <f>IFERROR(SUMIFS('Arrangement Tracker'!$F:$F,'Arrangement Tracker'!$D:$D,$A340,'Arrangement Tracker'!$E:$E,$C340),0)</f>
        <v>0</v>
      </c>
      <c r="G340">
        <f>IFERROR(SUMIFS('Losses &amp; Damages'!$E:$E,'Losses &amp; Damages'!$C:$C,$A340,'Losses &amp; Damages'!$D:$D,$C340),0)</f>
        <v>0</v>
      </c>
      <c r="H340">
        <f t="shared" si="5"/>
        <v>0</v>
      </c>
    </row>
    <row r="341" spans="1:8" x14ac:dyDescent="0.25">
      <c r="A341" s="1"/>
      <c r="B341" s="1"/>
      <c r="C341" s="1"/>
      <c r="D341" s="1"/>
      <c r="E341">
        <f>IFERROR(SUMIFS('Stock Received'!$F:$F,'Stock Received'!$D:$D,$A341,'Stock Received'!$E:$E,$C341),0)</f>
        <v>0</v>
      </c>
      <c r="F341">
        <f>IFERROR(SUMIFS('Arrangement Tracker'!$F:$F,'Arrangement Tracker'!$D:$D,$A341,'Arrangement Tracker'!$E:$E,$C341),0)</f>
        <v>0</v>
      </c>
      <c r="G341">
        <f>IFERROR(SUMIFS('Losses &amp; Damages'!$E:$E,'Losses &amp; Damages'!$C:$C,$A341,'Losses &amp; Damages'!$D:$D,$C341),0)</f>
        <v>0</v>
      </c>
      <c r="H341">
        <f t="shared" si="5"/>
        <v>0</v>
      </c>
    </row>
    <row r="342" spans="1:8" x14ac:dyDescent="0.25">
      <c r="A342" s="1"/>
      <c r="B342" s="1"/>
      <c r="C342" s="1"/>
      <c r="D342" s="1"/>
      <c r="E342">
        <f>IFERROR(SUMIFS('Stock Received'!$F:$F,'Stock Received'!$D:$D,$A342,'Stock Received'!$E:$E,$C342),0)</f>
        <v>0</v>
      </c>
      <c r="F342">
        <f>IFERROR(SUMIFS('Arrangement Tracker'!$F:$F,'Arrangement Tracker'!$D:$D,$A342,'Arrangement Tracker'!$E:$E,$C342),0)</f>
        <v>0</v>
      </c>
      <c r="G342">
        <f>IFERROR(SUMIFS('Losses &amp; Damages'!$E:$E,'Losses &amp; Damages'!$C:$C,$A342,'Losses &amp; Damages'!$D:$D,$C342),0)</f>
        <v>0</v>
      </c>
      <c r="H342">
        <f t="shared" si="5"/>
        <v>0</v>
      </c>
    </row>
    <row r="343" spans="1:8" x14ac:dyDescent="0.25">
      <c r="A343" s="1"/>
      <c r="B343" s="1"/>
      <c r="C343" s="1"/>
      <c r="D343" s="1"/>
      <c r="E343">
        <f>IFERROR(SUMIFS('Stock Received'!$F:$F,'Stock Received'!$D:$D,$A343,'Stock Received'!$E:$E,$C343),0)</f>
        <v>0</v>
      </c>
      <c r="F343">
        <f>IFERROR(SUMIFS('Arrangement Tracker'!$F:$F,'Arrangement Tracker'!$D:$D,$A343,'Arrangement Tracker'!$E:$E,$C343),0)</f>
        <v>0</v>
      </c>
      <c r="G343">
        <f>IFERROR(SUMIFS('Losses &amp; Damages'!$E:$E,'Losses &amp; Damages'!$C:$C,$A343,'Losses &amp; Damages'!$D:$D,$C343),0)</f>
        <v>0</v>
      </c>
      <c r="H343">
        <f t="shared" si="5"/>
        <v>0</v>
      </c>
    </row>
    <row r="344" spans="1:8" x14ac:dyDescent="0.25">
      <c r="A344" s="1"/>
      <c r="B344" s="1"/>
      <c r="C344" s="1"/>
      <c r="D344" s="1"/>
      <c r="E344">
        <f>IFERROR(SUMIFS('Stock Received'!$F:$F,'Stock Received'!$D:$D,$A344,'Stock Received'!$E:$E,$C344),0)</f>
        <v>0</v>
      </c>
      <c r="F344">
        <f>IFERROR(SUMIFS('Arrangement Tracker'!$F:$F,'Arrangement Tracker'!$D:$D,$A344,'Arrangement Tracker'!$E:$E,$C344),0)</f>
        <v>0</v>
      </c>
      <c r="G344">
        <f>IFERROR(SUMIFS('Losses &amp; Damages'!$E:$E,'Losses &amp; Damages'!$C:$C,$A344,'Losses &amp; Damages'!$D:$D,$C344),0)</f>
        <v>0</v>
      </c>
      <c r="H344">
        <f t="shared" si="5"/>
        <v>0</v>
      </c>
    </row>
    <row r="345" spans="1:8" x14ac:dyDescent="0.25">
      <c r="A345" s="1"/>
      <c r="B345" s="1"/>
      <c r="C345" s="1"/>
      <c r="D345" s="1"/>
      <c r="E345">
        <f>IFERROR(SUMIFS('Stock Received'!$F:$F,'Stock Received'!$D:$D,$A345,'Stock Received'!$E:$E,$C345),0)</f>
        <v>0</v>
      </c>
      <c r="F345">
        <f>IFERROR(SUMIFS('Arrangement Tracker'!$F:$F,'Arrangement Tracker'!$D:$D,$A345,'Arrangement Tracker'!$E:$E,$C345),0)</f>
        <v>0</v>
      </c>
      <c r="G345">
        <f>IFERROR(SUMIFS('Losses &amp; Damages'!$E:$E,'Losses &amp; Damages'!$C:$C,$A345,'Losses &amp; Damages'!$D:$D,$C345),0)</f>
        <v>0</v>
      </c>
      <c r="H345">
        <f t="shared" si="5"/>
        <v>0</v>
      </c>
    </row>
    <row r="346" spans="1:8" x14ac:dyDescent="0.25">
      <c r="A346" s="1"/>
      <c r="B346" s="1"/>
      <c r="C346" s="1"/>
      <c r="D346" s="1"/>
      <c r="E346">
        <f>IFERROR(SUMIFS('Stock Received'!$F:$F,'Stock Received'!$D:$D,$A346,'Stock Received'!$E:$E,$C346),0)</f>
        <v>0</v>
      </c>
      <c r="F346">
        <f>IFERROR(SUMIFS('Arrangement Tracker'!$F:$F,'Arrangement Tracker'!$D:$D,$A346,'Arrangement Tracker'!$E:$E,$C346),0)</f>
        <v>0</v>
      </c>
      <c r="G346">
        <f>IFERROR(SUMIFS('Losses &amp; Damages'!$E:$E,'Losses &amp; Damages'!$C:$C,$A346,'Losses &amp; Damages'!$D:$D,$C346),0)</f>
        <v>0</v>
      </c>
      <c r="H346">
        <f t="shared" si="5"/>
        <v>0</v>
      </c>
    </row>
    <row r="347" spans="1:8" x14ac:dyDescent="0.25">
      <c r="A347" s="1"/>
      <c r="B347" s="1"/>
      <c r="C347" s="1"/>
      <c r="D347" s="1"/>
      <c r="E347">
        <f>IFERROR(SUMIFS('Stock Received'!$F:$F,'Stock Received'!$D:$D,$A347,'Stock Received'!$E:$E,$C347),0)</f>
        <v>0</v>
      </c>
      <c r="F347">
        <f>IFERROR(SUMIFS('Arrangement Tracker'!$F:$F,'Arrangement Tracker'!$D:$D,$A347,'Arrangement Tracker'!$E:$E,$C347),0)</f>
        <v>0</v>
      </c>
      <c r="G347">
        <f>IFERROR(SUMIFS('Losses &amp; Damages'!$E:$E,'Losses &amp; Damages'!$C:$C,$A347,'Losses &amp; Damages'!$D:$D,$C347),0)</f>
        <v>0</v>
      </c>
      <c r="H347">
        <f t="shared" si="5"/>
        <v>0</v>
      </c>
    </row>
    <row r="348" spans="1:8" x14ac:dyDescent="0.25">
      <c r="A348" s="1"/>
      <c r="B348" s="1"/>
      <c r="C348" s="1"/>
      <c r="D348" s="1"/>
      <c r="E348">
        <f>IFERROR(SUMIFS('Stock Received'!$F:$F,'Stock Received'!$D:$D,$A348,'Stock Received'!$E:$E,$C348),0)</f>
        <v>0</v>
      </c>
      <c r="F348">
        <f>IFERROR(SUMIFS('Arrangement Tracker'!$F:$F,'Arrangement Tracker'!$D:$D,$A348,'Arrangement Tracker'!$E:$E,$C348),0)</f>
        <v>0</v>
      </c>
      <c r="G348">
        <f>IFERROR(SUMIFS('Losses &amp; Damages'!$E:$E,'Losses &amp; Damages'!$C:$C,$A348,'Losses &amp; Damages'!$D:$D,$C348),0)</f>
        <v>0</v>
      </c>
      <c r="H348">
        <f t="shared" si="5"/>
        <v>0</v>
      </c>
    </row>
    <row r="349" spans="1:8" x14ac:dyDescent="0.25">
      <c r="A349" s="1"/>
      <c r="B349" s="1"/>
      <c r="C349" s="1"/>
      <c r="D349" s="1"/>
      <c r="E349">
        <f>IFERROR(SUMIFS('Stock Received'!$F:$F,'Stock Received'!$D:$D,$A349,'Stock Received'!$E:$E,$C349),0)</f>
        <v>0</v>
      </c>
      <c r="F349">
        <f>IFERROR(SUMIFS('Arrangement Tracker'!$F:$F,'Arrangement Tracker'!$D:$D,$A349,'Arrangement Tracker'!$E:$E,$C349),0)</f>
        <v>0</v>
      </c>
      <c r="G349">
        <f>IFERROR(SUMIFS('Losses &amp; Damages'!$E:$E,'Losses &amp; Damages'!$C:$C,$A349,'Losses &amp; Damages'!$D:$D,$C349),0)</f>
        <v>0</v>
      </c>
      <c r="H349">
        <f t="shared" si="5"/>
        <v>0</v>
      </c>
    </row>
    <row r="350" spans="1:8" x14ac:dyDescent="0.25">
      <c r="A350" s="1"/>
      <c r="B350" s="1"/>
      <c r="C350" s="1"/>
      <c r="D350" s="1"/>
      <c r="E350">
        <f>IFERROR(SUMIFS('Stock Received'!$F:$F,'Stock Received'!$D:$D,$A350,'Stock Received'!$E:$E,$C350),0)</f>
        <v>0</v>
      </c>
      <c r="F350">
        <f>IFERROR(SUMIFS('Arrangement Tracker'!$F:$F,'Arrangement Tracker'!$D:$D,$A350,'Arrangement Tracker'!$E:$E,$C350),0)</f>
        <v>0</v>
      </c>
      <c r="G350">
        <f>IFERROR(SUMIFS('Losses &amp; Damages'!$E:$E,'Losses &amp; Damages'!$C:$C,$A350,'Losses &amp; Damages'!$D:$D,$C350),0)</f>
        <v>0</v>
      </c>
      <c r="H350">
        <f t="shared" si="5"/>
        <v>0</v>
      </c>
    </row>
    <row r="351" spans="1:8" x14ac:dyDescent="0.25">
      <c r="A351" s="1"/>
      <c r="B351" s="1"/>
      <c r="C351" s="1"/>
      <c r="D351" s="1"/>
      <c r="E351">
        <f>IFERROR(SUMIFS('Stock Received'!$F:$F,'Stock Received'!$D:$D,$A351,'Stock Received'!$E:$E,$C351),0)</f>
        <v>0</v>
      </c>
      <c r="F351">
        <f>IFERROR(SUMIFS('Arrangement Tracker'!$F:$F,'Arrangement Tracker'!$D:$D,$A351,'Arrangement Tracker'!$E:$E,$C351),0)</f>
        <v>0</v>
      </c>
      <c r="G351">
        <f>IFERROR(SUMIFS('Losses &amp; Damages'!$E:$E,'Losses &amp; Damages'!$C:$C,$A351,'Losses &amp; Damages'!$D:$D,$C351),0)</f>
        <v>0</v>
      </c>
      <c r="H351">
        <f t="shared" si="5"/>
        <v>0</v>
      </c>
    </row>
    <row r="352" spans="1:8" x14ac:dyDescent="0.25">
      <c r="A352" s="1"/>
      <c r="B352" s="1"/>
      <c r="C352" s="1"/>
      <c r="D352" s="1"/>
      <c r="E352">
        <f>IFERROR(SUMIFS('Stock Received'!$F:$F,'Stock Received'!$D:$D,$A352,'Stock Received'!$E:$E,$C352),0)</f>
        <v>0</v>
      </c>
      <c r="F352">
        <f>IFERROR(SUMIFS('Arrangement Tracker'!$F:$F,'Arrangement Tracker'!$D:$D,$A352,'Arrangement Tracker'!$E:$E,$C352),0)</f>
        <v>0</v>
      </c>
      <c r="G352">
        <f>IFERROR(SUMIFS('Losses &amp; Damages'!$E:$E,'Losses &amp; Damages'!$C:$C,$A352,'Losses &amp; Damages'!$D:$D,$C352),0)</f>
        <v>0</v>
      </c>
      <c r="H352">
        <f t="shared" si="5"/>
        <v>0</v>
      </c>
    </row>
    <row r="353" spans="1:8" x14ac:dyDescent="0.25">
      <c r="A353" s="1"/>
      <c r="B353" s="1"/>
      <c r="C353" s="1"/>
      <c r="D353" s="1"/>
      <c r="E353">
        <f>IFERROR(SUMIFS('Stock Received'!$F:$F,'Stock Received'!$D:$D,$A353,'Stock Received'!$E:$E,$C353),0)</f>
        <v>0</v>
      </c>
      <c r="F353">
        <f>IFERROR(SUMIFS('Arrangement Tracker'!$F:$F,'Arrangement Tracker'!$D:$D,$A353,'Arrangement Tracker'!$E:$E,$C353),0)</f>
        <v>0</v>
      </c>
      <c r="G353">
        <f>IFERROR(SUMIFS('Losses &amp; Damages'!$E:$E,'Losses &amp; Damages'!$C:$C,$A353,'Losses &amp; Damages'!$D:$D,$C353),0)</f>
        <v>0</v>
      </c>
      <c r="H353">
        <f t="shared" si="5"/>
        <v>0</v>
      </c>
    </row>
    <row r="354" spans="1:8" x14ac:dyDescent="0.25">
      <c r="A354" s="1"/>
      <c r="B354" s="1"/>
      <c r="C354" s="1"/>
      <c r="D354" s="1"/>
      <c r="E354">
        <f>IFERROR(SUMIFS('Stock Received'!$F:$F,'Stock Received'!$D:$D,$A354,'Stock Received'!$E:$E,$C354),0)</f>
        <v>0</v>
      </c>
      <c r="F354">
        <f>IFERROR(SUMIFS('Arrangement Tracker'!$F:$F,'Arrangement Tracker'!$D:$D,$A354,'Arrangement Tracker'!$E:$E,$C354),0)</f>
        <v>0</v>
      </c>
      <c r="G354">
        <f>IFERROR(SUMIFS('Losses &amp; Damages'!$E:$E,'Losses &amp; Damages'!$C:$C,$A354,'Losses &amp; Damages'!$D:$D,$C354),0)</f>
        <v>0</v>
      </c>
      <c r="H354">
        <f t="shared" si="5"/>
        <v>0</v>
      </c>
    </row>
    <row r="355" spans="1:8" x14ac:dyDescent="0.25">
      <c r="A355" s="1"/>
      <c r="B355" s="1"/>
      <c r="C355" s="1"/>
      <c r="D355" s="1"/>
      <c r="E355">
        <f>IFERROR(SUMIFS('Stock Received'!$F:$F,'Stock Received'!$D:$D,$A355,'Stock Received'!$E:$E,$C355),0)</f>
        <v>0</v>
      </c>
      <c r="F355">
        <f>IFERROR(SUMIFS('Arrangement Tracker'!$F:$F,'Arrangement Tracker'!$D:$D,$A355,'Arrangement Tracker'!$E:$E,$C355),0)</f>
        <v>0</v>
      </c>
      <c r="G355">
        <f>IFERROR(SUMIFS('Losses &amp; Damages'!$E:$E,'Losses &amp; Damages'!$C:$C,$A355,'Losses &amp; Damages'!$D:$D,$C355),0)</f>
        <v>0</v>
      </c>
      <c r="H355">
        <f t="shared" si="5"/>
        <v>0</v>
      </c>
    </row>
    <row r="356" spans="1:8" x14ac:dyDescent="0.25">
      <c r="A356" s="1"/>
      <c r="B356" s="1"/>
      <c r="C356" s="1"/>
      <c r="D356" s="1"/>
      <c r="E356">
        <f>IFERROR(SUMIFS('Stock Received'!$F:$F,'Stock Received'!$D:$D,$A356,'Stock Received'!$E:$E,$C356),0)</f>
        <v>0</v>
      </c>
      <c r="F356">
        <f>IFERROR(SUMIFS('Arrangement Tracker'!$F:$F,'Arrangement Tracker'!$D:$D,$A356,'Arrangement Tracker'!$E:$E,$C356),0)</f>
        <v>0</v>
      </c>
      <c r="G356">
        <f>IFERROR(SUMIFS('Losses &amp; Damages'!$E:$E,'Losses &amp; Damages'!$C:$C,$A356,'Losses &amp; Damages'!$D:$D,$C356),0)</f>
        <v>0</v>
      </c>
      <c r="H356">
        <f t="shared" si="5"/>
        <v>0</v>
      </c>
    </row>
    <row r="357" spans="1:8" x14ac:dyDescent="0.25">
      <c r="A357" s="1"/>
      <c r="B357" s="1"/>
      <c r="C357" s="1"/>
      <c r="D357" s="1"/>
      <c r="E357">
        <f>IFERROR(SUMIFS('Stock Received'!$F:$F,'Stock Received'!$D:$D,$A357,'Stock Received'!$E:$E,$C357),0)</f>
        <v>0</v>
      </c>
      <c r="F357">
        <f>IFERROR(SUMIFS('Arrangement Tracker'!$F:$F,'Arrangement Tracker'!$D:$D,$A357,'Arrangement Tracker'!$E:$E,$C357),0)</f>
        <v>0</v>
      </c>
      <c r="G357">
        <f>IFERROR(SUMIFS('Losses &amp; Damages'!$E:$E,'Losses &amp; Damages'!$C:$C,$A357,'Losses &amp; Damages'!$D:$D,$C357),0)</f>
        <v>0</v>
      </c>
      <c r="H357">
        <f t="shared" si="5"/>
        <v>0</v>
      </c>
    </row>
    <row r="358" spans="1:8" x14ac:dyDescent="0.25">
      <c r="A358" s="1"/>
      <c r="B358" s="1"/>
      <c r="C358" s="1"/>
      <c r="D358" s="1"/>
      <c r="E358">
        <f>IFERROR(SUMIFS('Stock Received'!$F:$F,'Stock Received'!$D:$D,$A358,'Stock Received'!$E:$E,$C358),0)</f>
        <v>0</v>
      </c>
      <c r="F358">
        <f>IFERROR(SUMIFS('Arrangement Tracker'!$F:$F,'Arrangement Tracker'!$D:$D,$A358,'Arrangement Tracker'!$E:$E,$C358),0)</f>
        <v>0</v>
      </c>
      <c r="G358">
        <f>IFERROR(SUMIFS('Losses &amp; Damages'!$E:$E,'Losses &amp; Damages'!$C:$C,$A358,'Losses &amp; Damages'!$D:$D,$C358),0)</f>
        <v>0</v>
      </c>
      <c r="H358">
        <f t="shared" si="5"/>
        <v>0</v>
      </c>
    </row>
    <row r="359" spans="1:8" x14ac:dyDescent="0.25">
      <c r="A359" s="1"/>
      <c r="B359" s="1"/>
      <c r="C359" s="1"/>
      <c r="D359" s="1"/>
      <c r="E359">
        <f>IFERROR(SUMIFS('Stock Received'!$F:$F,'Stock Received'!$D:$D,$A359,'Stock Received'!$E:$E,$C359),0)</f>
        <v>0</v>
      </c>
      <c r="F359">
        <f>IFERROR(SUMIFS('Arrangement Tracker'!$F:$F,'Arrangement Tracker'!$D:$D,$A359,'Arrangement Tracker'!$E:$E,$C359),0)</f>
        <v>0</v>
      </c>
      <c r="G359">
        <f>IFERROR(SUMIFS('Losses &amp; Damages'!$E:$E,'Losses &amp; Damages'!$C:$C,$A359,'Losses &amp; Damages'!$D:$D,$C359),0)</f>
        <v>0</v>
      </c>
      <c r="H359">
        <f t="shared" si="5"/>
        <v>0</v>
      </c>
    </row>
    <row r="360" spans="1:8" x14ac:dyDescent="0.25">
      <c r="A360" s="1"/>
      <c r="B360" s="1"/>
      <c r="C360" s="1"/>
      <c r="D360" s="1"/>
      <c r="E360">
        <f>IFERROR(SUMIFS('Stock Received'!$F:$F,'Stock Received'!$D:$D,$A360,'Stock Received'!$E:$E,$C360),0)</f>
        <v>0</v>
      </c>
      <c r="F360">
        <f>IFERROR(SUMIFS('Arrangement Tracker'!$F:$F,'Arrangement Tracker'!$D:$D,$A360,'Arrangement Tracker'!$E:$E,$C360),0)</f>
        <v>0</v>
      </c>
      <c r="G360">
        <f>IFERROR(SUMIFS('Losses &amp; Damages'!$E:$E,'Losses &amp; Damages'!$C:$C,$A360,'Losses &amp; Damages'!$D:$D,$C360),0)</f>
        <v>0</v>
      </c>
      <c r="H360">
        <f t="shared" si="5"/>
        <v>0</v>
      </c>
    </row>
    <row r="361" spans="1:8" x14ac:dyDescent="0.25">
      <c r="A361" s="1"/>
      <c r="B361" s="1"/>
      <c r="C361" s="1"/>
      <c r="D361" s="1"/>
      <c r="E361">
        <f>IFERROR(SUMIFS('Stock Received'!$F:$F,'Stock Received'!$D:$D,$A361,'Stock Received'!$E:$E,$C361),0)</f>
        <v>0</v>
      </c>
      <c r="F361">
        <f>IFERROR(SUMIFS('Arrangement Tracker'!$F:$F,'Arrangement Tracker'!$D:$D,$A361,'Arrangement Tracker'!$E:$E,$C361),0)</f>
        <v>0</v>
      </c>
      <c r="G361">
        <f>IFERROR(SUMIFS('Losses &amp; Damages'!$E:$E,'Losses &amp; Damages'!$C:$C,$A361,'Losses &amp; Damages'!$D:$D,$C361),0)</f>
        <v>0</v>
      </c>
      <c r="H361">
        <f t="shared" si="5"/>
        <v>0</v>
      </c>
    </row>
    <row r="362" spans="1:8" x14ac:dyDescent="0.25">
      <c r="A362" s="1"/>
      <c r="B362" s="1"/>
      <c r="C362" s="1"/>
      <c r="D362" s="1"/>
      <c r="E362">
        <f>IFERROR(SUMIFS('Stock Received'!$F:$F,'Stock Received'!$D:$D,$A362,'Stock Received'!$E:$E,$C362),0)</f>
        <v>0</v>
      </c>
      <c r="F362">
        <f>IFERROR(SUMIFS('Arrangement Tracker'!$F:$F,'Arrangement Tracker'!$D:$D,$A362,'Arrangement Tracker'!$E:$E,$C362),0)</f>
        <v>0</v>
      </c>
      <c r="G362">
        <f>IFERROR(SUMIFS('Losses &amp; Damages'!$E:$E,'Losses &amp; Damages'!$C:$C,$A362,'Losses &amp; Damages'!$D:$D,$C362),0)</f>
        <v>0</v>
      </c>
      <c r="H362">
        <f t="shared" si="5"/>
        <v>0</v>
      </c>
    </row>
    <row r="363" spans="1:8" x14ac:dyDescent="0.25">
      <c r="A363" s="1"/>
      <c r="B363" s="1"/>
      <c r="C363" s="1"/>
      <c r="D363" s="1"/>
      <c r="E363">
        <f>IFERROR(SUMIFS('Stock Received'!$F:$F,'Stock Received'!$D:$D,$A363,'Stock Received'!$E:$E,$C363),0)</f>
        <v>0</v>
      </c>
      <c r="F363">
        <f>IFERROR(SUMIFS('Arrangement Tracker'!$F:$F,'Arrangement Tracker'!$D:$D,$A363,'Arrangement Tracker'!$E:$E,$C363),0)</f>
        <v>0</v>
      </c>
      <c r="G363">
        <f>IFERROR(SUMIFS('Losses &amp; Damages'!$E:$E,'Losses &amp; Damages'!$C:$C,$A363,'Losses &amp; Damages'!$D:$D,$C363),0)</f>
        <v>0</v>
      </c>
      <c r="H363">
        <f t="shared" si="5"/>
        <v>0</v>
      </c>
    </row>
    <row r="364" spans="1:8" x14ac:dyDescent="0.25">
      <c r="A364" s="1"/>
      <c r="B364" s="1"/>
      <c r="C364" s="1"/>
      <c r="D364" s="1"/>
      <c r="E364">
        <f>IFERROR(SUMIFS('Stock Received'!$F:$F,'Stock Received'!$D:$D,$A364,'Stock Received'!$E:$E,$C364),0)</f>
        <v>0</v>
      </c>
      <c r="F364">
        <f>IFERROR(SUMIFS('Arrangement Tracker'!$F:$F,'Arrangement Tracker'!$D:$D,$A364,'Arrangement Tracker'!$E:$E,$C364),0)</f>
        <v>0</v>
      </c>
      <c r="G364">
        <f>IFERROR(SUMIFS('Losses &amp; Damages'!$E:$E,'Losses &amp; Damages'!$C:$C,$A364,'Losses &amp; Damages'!$D:$D,$C364),0)</f>
        <v>0</v>
      </c>
      <c r="H364">
        <f t="shared" si="5"/>
        <v>0</v>
      </c>
    </row>
    <row r="365" spans="1:8" x14ac:dyDescent="0.25">
      <c r="A365" s="1"/>
      <c r="B365" s="1"/>
      <c r="C365" s="1"/>
      <c r="D365" s="1"/>
      <c r="E365">
        <f>IFERROR(SUMIFS('Stock Received'!$F:$F,'Stock Received'!$D:$D,$A365,'Stock Received'!$E:$E,$C365),0)</f>
        <v>0</v>
      </c>
      <c r="F365">
        <f>IFERROR(SUMIFS('Arrangement Tracker'!$F:$F,'Arrangement Tracker'!$D:$D,$A365,'Arrangement Tracker'!$E:$E,$C365),0)</f>
        <v>0</v>
      </c>
      <c r="G365">
        <f>IFERROR(SUMIFS('Losses &amp; Damages'!$E:$E,'Losses &amp; Damages'!$C:$C,$A365,'Losses &amp; Damages'!$D:$D,$C365),0)</f>
        <v>0</v>
      </c>
      <c r="H365">
        <f t="shared" si="5"/>
        <v>0</v>
      </c>
    </row>
    <row r="366" spans="1:8" x14ac:dyDescent="0.25">
      <c r="A366" s="1"/>
      <c r="B366" s="1"/>
      <c r="C366" s="1"/>
      <c r="D366" s="1"/>
      <c r="E366">
        <f>IFERROR(SUMIFS('Stock Received'!$F:$F,'Stock Received'!$D:$D,$A366,'Stock Received'!$E:$E,$C366),0)</f>
        <v>0</v>
      </c>
      <c r="F366">
        <f>IFERROR(SUMIFS('Arrangement Tracker'!$F:$F,'Arrangement Tracker'!$D:$D,$A366,'Arrangement Tracker'!$E:$E,$C366),0)</f>
        <v>0</v>
      </c>
      <c r="G366">
        <f>IFERROR(SUMIFS('Losses &amp; Damages'!$E:$E,'Losses &amp; Damages'!$C:$C,$A366,'Losses &amp; Damages'!$D:$D,$C366),0)</f>
        <v>0</v>
      </c>
      <c r="H366">
        <f t="shared" si="5"/>
        <v>0</v>
      </c>
    </row>
    <row r="367" spans="1:8" x14ac:dyDescent="0.25">
      <c r="A367" s="1"/>
      <c r="B367" s="1"/>
      <c r="C367" s="1"/>
      <c r="D367" s="1"/>
      <c r="E367">
        <f>IFERROR(SUMIFS('Stock Received'!$F:$F,'Stock Received'!$D:$D,$A367,'Stock Received'!$E:$E,$C367),0)</f>
        <v>0</v>
      </c>
      <c r="F367">
        <f>IFERROR(SUMIFS('Arrangement Tracker'!$F:$F,'Arrangement Tracker'!$D:$D,$A367,'Arrangement Tracker'!$E:$E,$C367),0)</f>
        <v>0</v>
      </c>
      <c r="G367">
        <f>IFERROR(SUMIFS('Losses &amp; Damages'!$E:$E,'Losses &amp; Damages'!$C:$C,$A367,'Losses &amp; Damages'!$D:$D,$C367),0)</f>
        <v>0</v>
      </c>
      <c r="H367">
        <f t="shared" si="5"/>
        <v>0</v>
      </c>
    </row>
    <row r="368" spans="1:8" x14ac:dyDescent="0.25">
      <c r="A368" s="1"/>
      <c r="B368" s="1"/>
      <c r="C368" s="1"/>
      <c r="D368" s="1"/>
      <c r="E368">
        <f>IFERROR(SUMIFS('Stock Received'!$F:$F,'Stock Received'!$D:$D,$A368,'Stock Received'!$E:$E,$C368),0)</f>
        <v>0</v>
      </c>
      <c r="F368">
        <f>IFERROR(SUMIFS('Arrangement Tracker'!$F:$F,'Arrangement Tracker'!$D:$D,$A368,'Arrangement Tracker'!$E:$E,$C368),0)</f>
        <v>0</v>
      </c>
      <c r="G368">
        <f>IFERROR(SUMIFS('Losses &amp; Damages'!$E:$E,'Losses &amp; Damages'!$C:$C,$A368,'Losses &amp; Damages'!$D:$D,$C368),0)</f>
        <v>0</v>
      </c>
      <c r="H368">
        <f t="shared" si="5"/>
        <v>0</v>
      </c>
    </row>
    <row r="369" spans="1:8" x14ac:dyDescent="0.25">
      <c r="A369" s="1"/>
      <c r="B369" s="1"/>
      <c r="C369" s="1"/>
      <c r="D369" s="1"/>
      <c r="E369">
        <f>IFERROR(SUMIFS('Stock Received'!$F:$F,'Stock Received'!$D:$D,$A369,'Stock Received'!$E:$E,$C369),0)</f>
        <v>0</v>
      </c>
      <c r="F369">
        <f>IFERROR(SUMIFS('Arrangement Tracker'!$F:$F,'Arrangement Tracker'!$D:$D,$A369,'Arrangement Tracker'!$E:$E,$C369),0)</f>
        <v>0</v>
      </c>
      <c r="G369">
        <f>IFERROR(SUMIFS('Losses &amp; Damages'!$E:$E,'Losses &amp; Damages'!$C:$C,$A369,'Losses &amp; Damages'!$D:$D,$C369),0)</f>
        <v>0</v>
      </c>
      <c r="H369">
        <f t="shared" si="5"/>
        <v>0</v>
      </c>
    </row>
    <row r="370" spans="1:8" x14ac:dyDescent="0.25">
      <c r="A370" s="1"/>
      <c r="B370" s="1"/>
      <c r="C370" s="1"/>
      <c r="D370" s="1"/>
      <c r="E370">
        <f>IFERROR(SUMIFS('Stock Received'!$F:$F,'Stock Received'!$D:$D,$A370,'Stock Received'!$E:$E,$C370),0)</f>
        <v>0</v>
      </c>
      <c r="F370">
        <f>IFERROR(SUMIFS('Arrangement Tracker'!$F:$F,'Arrangement Tracker'!$D:$D,$A370,'Arrangement Tracker'!$E:$E,$C370),0)</f>
        <v>0</v>
      </c>
      <c r="G370">
        <f>IFERROR(SUMIFS('Losses &amp; Damages'!$E:$E,'Losses &amp; Damages'!$C:$C,$A370,'Losses &amp; Damages'!$D:$D,$C370),0)</f>
        <v>0</v>
      </c>
      <c r="H370">
        <f t="shared" si="5"/>
        <v>0</v>
      </c>
    </row>
    <row r="371" spans="1:8" x14ac:dyDescent="0.25">
      <c r="A371" s="1"/>
      <c r="B371" s="1"/>
      <c r="C371" s="1"/>
      <c r="D371" s="1"/>
      <c r="E371">
        <f>IFERROR(SUMIFS('Stock Received'!$F:$F,'Stock Received'!$D:$D,$A371,'Stock Received'!$E:$E,$C371),0)</f>
        <v>0</v>
      </c>
      <c r="F371">
        <f>IFERROR(SUMIFS('Arrangement Tracker'!$F:$F,'Arrangement Tracker'!$D:$D,$A371,'Arrangement Tracker'!$E:$E,$C371),0)</f>
        <v>0</v>
      </c>
      <c r="G371">
        <f>IFERROR(SUMIFS('Losses &amp; Damages'!$E:$E,'Losses &amp; Damages'!$C:$C,$A371,'Losses &amp; Damages'!$D:$D,$C371),0)</f>
        <v>0</v>
      </c>
      <c r="H371">
        <f t="shared" si="5"/>
        <v>0</v>
      </c>
    </row>
    <row r="372" spans="1:8" x14ac:dyDescent="0.25">
      <c r="A372" s="1"/>
      <c r="B372" s="1"/>
      <c r="C372" s="1"/>
      <c r="D372" s="1"/>
      <c r="E372">
        <f>IFERROR(SUMIFS('Stock Received'!$F:$F,'Stock Received'!$D:$D,$A372,'Stock Received'!$E:$E,$C372),0)</f>
        <v>0</v>
      </c>
      <c r="F372">
        <f>IFERROR(SUMIFS('Arrangement Tracker'!$F:$F,'Arrangement Tracker'!$D:$D,$A372,'Arrangement Tracker'!$E:$E,$C372),0)</f>
        <v>0</v>
      </c>
      <c r="G372">
        <f>IFERROR(SUMIFS('Losses &amp; Damages'!$E:$E,'Losses &amp; Damages'!$C:$C,$A372,'Losses &amp; Damages'!$D:$D,$C372),0)</f>
        <v>0</v>
      </c>
      <c r="H372">
        <f t="shared" si="5"/>
        <v>0</v>
      </c>
    </row>
    <row r="373" spans="1:8" x14ac:dyDescent="0.25">
      <c r="A373" s="1"/>
      <c r="B373" s="1"/>
      <c r="C373" s="1"/>
      <c r="D373" s="1"/>
      <c r="E373">
        <f>IFERROR(SUMIFS('Stock Received'!$F:$F,'Stock Received'!$D:$D,$A373,'Stock Received'!$E:$E,$C373),0)</f>
        <v>0</v>
      </c>
      <c r="F373">
        <f>IFERROR(SUMIFS('Arrangement Tracker'!$F:$F,'Arrangement Tracker'!$D:$D,$A373,'Arrangement Tracker'!$E:$E,$C373),0)</f>
        <v>0</v>
      </c>
      <c r="G373">
        <f>IFERROR(SUMIFS('Losses &amp; Damages'!$E:$E,'Losses &amp; Damages'!$C:$C,$A373,'Losses &amp; Damages'!$D:$D,$C373),0)</f>
        <v>0</v>
      </c>
      <c r="H373">
        <f t="shared" si="5"/>
        <v>0</v>
      </c>
    </row>
    <row r="374" spans="1:8" x14ac:dyDescent="0.25">
      <c r="A374" s="1"/>
      <c r="B374" s="1"/>
      <c r="C374" s="1"/>
      <c r="D374" s="1"/>
      <c r="E374">
        <f>IFERROR(SUMIFS('Stock Received'!$F:$F,'Stock Received'!$D:$D,$A374,'Stock Received'!$E:$E,$C374),0)</f>
        <v>0</v>
      </c>
      <c r="F374">
        <f>IFERROR(SUMIFS('Arrangement Tracker'!$F:$F,'Arrangement Tracker'!$D:$D,$A374,'Arrangement Tracker'!$E:$E,$C374),0)</f>
        <v>0</v>
      </c>
      <c r="G374">
        <f>IFERROR(SUMIFS('Losses &amp; Damages'!$E:$E,'Losses &amp; Damages'!$C:$C,$A374,'Losses &amp; Damages'!$D:$D,$C374),0)</f>
        <v>0</v>
      </c>
      <c r="H374">
        <f t="shared" si="5"/>
        <v>0</v>
      </c>
    </row>
    <row r="375" spans="1:8" x14ac:dyDescent="0.25">
      <c r="A375" s="1"/>
      <c r="B375" s="1"/>
      <c r="C375" s="1"/>
      <c r="D375" s="1"/>
      <c r="E375">
        <f>IFERROR(SUMIFS('Stock Received'!$F:$F,'Stock Received'!$D:$D,$A375,'Stock Received'!$E:$E,$C375),0)</f>
        <v>0</v>
      </c>
      <c r="F375">
        <f>IFERROR(SUMIFS('Arrangement Tracker'!$F:$F,'Arrangement Tracker'!$D:$D,$A375,'Arrangement Tracker'!$E:$E,$C375),0)</f>
        <v>0</v>
      </c>
      <c r="G375">
        <f>IFERROR(SUMIFS('Losses &amp; Damages'!$E:$E,'Losses &amp; Damages'!$C:$C,$A375,'Losses &amp; Damages'!$D:$D,$C375),0)</f>
        <v>0</v>
      </c>
      <c r="H375">
        <f t="shared" si="5"/>
        <v>0</v>
      </c>
    </row>
    <row r="376" spans="1:8" x14ac:dyDescent="0.25">
      <c r="A376" s="1"/>
      <c r="B376" s="1"/>
      <c r="C376" s="1"/>
      <c r="D376" s="1"/>
      <c r="E376">
        <f>IFERROR(SUMIFS('Stock Received'!$F:$F,'Stock Received'!$D:$D,$A376,'Stock Received'!$E:$E,$C376),0)</f>
        <v>0</v>
      </c>
      <c r="F376">
        <f>IFERROR(SUMIFS('Arrangement Tracker'!$F:$F,'Arrangement Tracker'!$D:$D,$A376,'Arrangement Tracker'!$E:$E,$C376),0)</f>
        <v>0</v>
      </c>
      <c r="G376">
        <f>IFERROR(SUMIFS('Losses &amp; Damages'!$E:$E,'Losses &amp; Damages'!$C:$C,$A376,'Losses &amp; Damages'!$D:$D,$C376),0)</f>
        <v>0</v>
      </c>
      <c r="H376">
        <f t="shared" si="5"/>
        <v>0</v>
      </c>
    </row>
    <row r="377" spans="1:8" x14ac:dyDescent="0.25">
      <c r="A377" s="1"/>
      <c r="B377" s="1"/>
      <c r="C377" s="1"/>
      <c r="D377" s="1"/>
      <c r="E377">
        <f>IFERROR(SUMIFS('Stock Received'!$F:$F,'Stock Received'!$D:$D,$A377,'Stock Received'!$E:$E,$C377),0)</f>
        <v>0</v>
      </c>
      <c r="F377">
        <f>IFERROR(SUMIFS('Arrangement Tracker'!$F:$F,'Arrangement Tracker'!$D:$D,$A377,'Arrangement Tracker'!$E:$E,$C377),0)</f>
        <v>0</v>
      </c>
      <c r="G377">
        <f>IFERROR(SUMIFS('Losses &amp; Damages'!$E:$E,'Losses &amp; Damages'!$C:$C,$A377,'Losses &amp; Damages'!$D:$D,$C377),0)</f>
        <v>0</v>
      </c>
      <c r="H377">
        <f t="shared" si="5"/>
        <v>0</v>
      </c>
    </row>
    <row r="378" spans="1:8" x14ac:dyDescent="0.25">
      <c r="A378" s="1"/>
      <c r="B378" s="1"/>
      <c r="C378" s="1"/>
      <c r="D378" s="1"/>
      <c r="E378">
        <f>IFERROR(SUMIFS('Stock Received'!$F:$F,'Stock Received'!$D:$D,$A378,'Stock Received'!$E:$E,$C378),0)</f>
        <v>0</v>
      </c>
      <c r="F378">
        <f>IFERROR(SUMIFS('Arrangement Tracker'!$F:$F,'Arrangement Tracker'!$D:$D,$A378,'Arrangement Tracker'!$E:$E,$C378),0)</f>
        <v>0</v>
      </c>
      <c r="G378">
        <f>IFERROR(SUMIFS('Losses &amp; Damages'!$E:$E,'Losses &amp; Damages'!$C:$C,$A378,'Losses &amp; Damages'!$D:$D,$C378),0)</f>
        <v>0</v>
      </c>
      <c r="H378">
        <f t="shared" si="5"/>
        <v>0</v>
      </c>
    </row>
    <row r="379" spans="1:8" x14ac:dyDescent="0.25">
      <c r="A379" s="1"/>
      <c r="B379" s="1"/>
      <c r="C379" s="1"/>
      <c r="D379" s="1"/>
      <c r="E379">
        <f>IFERROR(SUMIFS('Stock Received'!$F:$F,'Stock Received'!$D:$D,$A379,'Stock Received'!$E:$E,$C379),0)</f>
        <v>0</v>
      </c>
      <c r="F379">
        <f>IFERROR(SUMIFS('Arrangement Tracker'!$F:$F,'Arrangement Tracker'!$D:$D,$A379,'Arrangement Tracker'!$E:$E,$C379),0)</f>
        <v>0</v>
      </c>
      <c r="G379">
        <f>IFERROR(SUMIFS('Losses &amp; Damages'!$E:$E,'Losses &amp; Damages'!$C:$C,$A379,'Losses &amp; Damages'!$D:$D,$C379),0)</f>
        <v>0</v>
      </c>
      <c r="H379">
        <f t="shared" si="5"/>
        <v>0</v>
      </c>
    </row>
    <row r="380" spans="1:8" x14ac:dyDescent="0.25">
      <c r="A380" s="1"/>
      <c r="B380" s="1"/>
      <c r="C380" s="1"/>
      <c r="D380" s="1"/>
      <c r="E380">
        <f>IFERROR(SUMIFS('Stock Received'!$F:$F,'Stock Received'!$D:$D,$A380,'Stock Received'!$E:$E,$C380),0)</f>
        <v>0</v>
      </c>
      <c r="F380">
        <f>IFERROR(SUMIFS('Arrangement Tracker'!$F:$F,'Arrangement Tracker'!$D:$D,$A380,'Arrangement Tracker'!$E:$E,$C380),0)</f>
        <v>0</v>
      </c>
      <c r="G380">
        <f>IFERROR(SUMIFS('Losses &amp; Damages'!$E:$E,'Losses &amp; Damages'!$C:$C,$A380,'Losses &amp; Damages'!$D:$D,$C380),0)</f>
        <v>0</v>
      </c>
      <c r="H380">
        <f t="shared" si="5"/>
        <v>0</v>
      </c>
    </row>
    <row r="381" spans="1:8" x14ac:dyDescent="0.25">
      <c r="A381" s="1"/>
      <c r="B381" s="1"/>
      <c r="C381" s="1"/>
      <c r="D381" s="1"/>
      <c r="E381">
        <f>IFERROR(SUMIFS('Stock Received'!$F:$F,'Stock Received'!$D:$D,$A381,'Stock Received'!$E:$E,$C381),0)</f>
        <v>0</v>
      </c>
      <c r="F381">
        <f>IFERROR(SUMIFS('Arrangement Tracker'!$F:$F,'Arrangement Tracker'!$D:$D,$A381,'Arrangement Tracker'!$E:$E,$C381),0)</f>
        <v>0</v>
      </c>
      <c r="G381">
        <f>IFERROR(SUMIFS('Losses &amp; Damages'!$E:$E,'Losses &amp; Damages'!$C:$C,$A381,'Losses &amp; Damages'!$D:$D,$C381),0)</f>
        <v>0</v>
      </c>
      <c r="H381">
        <f t="shared" si="5"/>
        <v>0</v>
      </c>
    </row>
    <row r="382" spans="1:8" x14ac:dyDescent="0.25">
      <c r="A382" s="1"/>
      <c r="B382" s="1"/>
      <c r="C382" s="1"/>
      <c r="D382" s="1"/>
      <c r="E382">
        <f>IFERROR(SUMIFS('Stock Received'!$F:$F,'Stock Received'!$D:$D,$A382,'Stock Received'!$E:$E,$C382),0)</f>
        <v>0</v>
      </c>
      <c r="F382">
        <f>IFERROR(SUMIFS('Arrangement Tracker'!$F:$F,'Arrangement Tracker'!$D:$D,$A382,'Arrangement Tracker'!$E:$E,$C382),0)</f>
        <v>0</v>
      </c>
      <c r="G382">
        <f>IFERROR(SUMIFS('Losses &amp; Damages'!$E:$E,'Losses &amp; Damages'!$C:$C,$A382,'Losses &amp; Damages'!$D:$D,$C382),0)</f>
        <v>0</v>
      </c>
      <c r="H382">
        <f t="shared" si="5"/>
        <v>0</v>
      </c>
    </row>
    <row r="383" spans="1:8" x14ac:dyDescent="0.25">
      <c r="A383" s="1"/>
      <c r="B383" s="1"/>
      <c r="C383" s="1"/>
      <c r="D383" s="1"/>
      <c r="E383">
        <f>IFERROR(SUMIFS('Stock Received'!$F:$F,'Stock Received'!$D:$D,$A383,'Stock Received'!$E:$E,$C383),0)</f>
        <v>0</v>
      </c>
      <c r="F383">
        <f>IFERROR(SUMIFS('Arrangement Tracker'!$F:$F,'Arrangement Tracker'!$D:$D,$A383,'Arrangement Tracker'!$E:$E,$C383),0)</f>
        <v>0</v>
      </c>
      <c r="G383">
        <f>IFERROR(SUMIFS('Losses &amp; Damages'!$E:$E,'Losses &amp; Damages'!$C:$C,$A383,'Losses &amp; Damages'!$D:$D,$C383),0)</f>
        <v>0</v>
      </c>
      <c r="H383">
        <f t="shared" si="5"/>
        <v>0</v>
      </c>
    </row>
    <row r="384" spans="1:8" x14ac:dyDescent="0.25">
      <c r="A384" s="1"/>
      <c r="B384" s="1"/>
      <c r="C384" s="1"/>
      <c r="D384" s="1"/>
      <c r="E384">
        <f>IFERROR(SUMIFS('Stock Received'!$F:$F,'Stock Received'!$D:$D,$A384,'Stock Received'!$E:$E,$C384),0)</f>
        <v>0</v>
      </c>
      <c r="F384">
        <f>IFERROR(SUMIFS('Arrangement Tracker'!$F:$F,'Arrangement Tracker'!$D:$D,$A384,'Arrangement Tracker'!$E:$E,$C384),0)</f>
        <v>0</v>
      </c>
      <c r="G384">
        <f>IFERROR(SUMIFS('Losses &amp; Damages'!$E:$E,'Losses &amp; Damages'!$C:$C,$A384,'Losses &amp; Damages'!$D:$D,$C384),0)</f>
        <v>0</v>
      </c>
      <c r="H384">
        <f t="shared" si="5"/>
        <v>0</v>
      </c>
    </row>
    <row r="385" spans="1:8" x14ac:dyDescent="0.25">
      <c r="A385" s="1"/>
      <c r="B385" s="1"/>
      <c r="C385" s="1"/>
      <c r="D385" s="1"/>
      <c r="E385">
        <f>IFERROR(SUMIFS('Stock Received'!$F:$F,'Stock Received'!$D:$D,$A385,'Stock Received'!$E:$E,$C385),0)</f>
        <v>0</v>
      </c>
      <c r="F385">
        <f>IFERROR(SUMIFS('Arrangement Tracker'!$F:$F,'Arrangement Tracker'!$D:$D,$A385,'Arrangement Tracker'!$E:$E,$C385),0)</f>
        <v>0</v>
      </c>
      <c r="G385">
        <f>IFERROR(SUMIFS('Losses &amp; Damages'!$E:$E,'Losses &amp; Damages'!$C:$C,$A385,'Losses &amp; Damages'!$D:$D,$C385),0)</f>
        <v>0</v>
      </c>
      <c r="H385">
        <f t="shared" si="5"/>
        <v>0</v>
      </c>
    </row>
    <row r="386" spans="1:8" x14ac:dyDescent="0.25">
      <c r="A386" s="1"/>
      <c r="B386" s="1"/>
      <c r="C386" s="1"/>
      <c r="D386" s="1"/>
      <c r="E386">
        <f>IFERROR(SUMIFS('Stock Received'!$F:$F,'Stock Received'!$D:$D,$A386,'Stock Received'!$E:$E,$C386),0)</f>
        <v>0</v>
      </c>
      <c r="F386">
        <f>IFERROR(SUMIFS('Arrangement Tracker'!$F:$F,'Arrangement Tracker'!$D:$D,$A386,'Arrangement Tracker'!$E:$E,$C386),0)</f>
        <v>0</v>
      </c>
      <c r="G386">
        <f>IFERROR(SUMIFS('Losses &amp; Damages'!$E:$E,'Losses &amp; Damages'!$C:$C,$A386,'Losses &amp; Damages'!$D:$D,$C386),0)</f>
        <v>0</v>
      </c>
      <c r="H386">
        <f t="shared" ref="H386:H449" si="6">IFERROR(D386+E386-F386-G386,0)</f>
        <v>0</v>
      </c>
    </row>
    <row r="387" spans="1:8" x14ac:dyDescent="0.25">
      <c r="A387" s="1"/>
      <c r="B387" s="1"/>
      <c r="C387" s="1"/>
      <c r="D387" s="1"/>
      <c r="E387">
        <f>IFERROR(SUMIFS('Stock Received'!$F:$F,'Stock Received'!$D:$D,$A387,'Stock Received'!$E:$E,$C387),0)</f>
        <v>0</v>
      </c>
      <c r="F387">
        <f>IFERROR(SUMIFS('Arrangement Tracker'!$F:$F,'Arrangement Tracker'!$D:$D,$A387,'Arrangement Tracker'!$E:$E,$C387),0)</f>
        <v>0</v>
      </c>
      <c r="G387">
        <f>IFERROR(SUMIFS('Losses &amp; Damages'!$E:$E,'Losses &amp; Damages'!$C:$C,$A387,'Losses &amp; Damages'!$D:$D,$C387),0)</f>
        <v>0</v>
      </c>
      <c r="H387">
        <f t="shared" si="6"/>
        <v>0</v>
      </c>
    </row>
    <row r="388" spans="1:8" x14ac:dyDescent="0.25">
      <c r="A388" s="1"/>
      <c r="B388" s="1"/>
      <c r="C388" s="1"/>
      <c r="D388" s="1"/>
      <c r="E388">
        <f>IFERROR(SUMIFS('Stock Received'!$F:$F,'Stock Received'!$D:$D,$A388,'Stock Received'!$E:$E,$C388),0)</f>
        <v>0</v>
      </c>
      <c r="F388">
        <f>IFERROR(SUMIFS('Arrangement Tracker'!$F:$F,'Arrangement Tracker'!$D:$D,$A388,'Arrangement Tracker'!$E:$E,$C388),0)</f>
        <v>0</v>
      </c>
      <c r="G388">
        <f>IFERROR(SUMIFS('Losses &amp; Damages'!$E:$E,'Losses &amp; Damages'!$C:$C,$A388,'Losses &amp; Damages'!$D:$D,$C388),0)</f>
        <v>0</v>
      </c>
      <c r="H388">
        <f t="shared" si="6"/>
        <v>0</v>
      </c>
    </row>
    <row r="389" spans="1:8" x14ac:dyDescent="0.25">
      <c r="A389" s="1"/>
      <c r="B389" s="1"/>
      <c r="C389" s="1"/>
      <c r="D389" s="1"/>
      <c r="E389">
        <f>IFERROR(SUMIFS('Stock Received'!$F:$F,'Stock Received'!$D:$D,$A389,'Stock Received'!$E:$E,$C389),0)</f>
        <v>0</v>
      </c>
      <c r="F389">
        <f>IFERROR(SUMIFS('Arrangement Tracker'!$F:$F,'Arrangement Tracker'!$D:$D,$A389,'Arrangement Tracker'!$E:$E,$C389),0)</f>
        <v>0</v>
      </c>
      <c r="G389">
        <f>IFERROR(SUMIFS('Losses &amp; Damages'!$E:$E,'Losses &amp; Damages'!$C:$C,$A389,'Losses &amp; Damages'!$D:$D,$C389),0)</f>
        <v>0</v>
      </c>
      <c r="H389">
        <f t="shared" si="6"/>
        <v>0</v>
      </c>
    </row>
    <row r="390" spans="1:8" x14ac:dyDescent="0.25">
      <c r="A390" s="1"/>
      <c r="B390" s="1"/>
      <c r="C390" s="1"/>
      <c r="D390" s="1"/>
      <c r="E390">
        <f>IFERROR(SUMIFS('Stock Received'!$F:$F,'Stock Received'!$D:$D,$A390,'Stock Received'!$E:$E,$C390),0)</f>
        <v>0</v>
      </c>
      <c r="F390">
        <f>IFERROR(SUMIFS('Arrangement Tracker'!$F:$F,'Arrangement Tracker'!$D:$D,$A390,'Arrangement Tracker'!$E:$E,$C390),0)</f>
        <v>0</v>
      </c>
      <c r="G390">
        <f>IFERROR(SUMIFS('Losses &amp; Damages'!$E:$E,'Losses &amp; Damages'!$C:$C,$A390,'Losses &amp; Damages'!$D:$D,$C390),0)</f>
        <v>0</v>
      </c>
      <c r="H390">
        <f t="shared" si="6"/>
        <v>0</v>
      </c>
    </row>
    <row r="391" spans="1:8" x14ac:dyDescent="0.25">
      <c r="A391" s="1"/>
      <c r="B391" s="1"/>
      <c r="C391" s="1"/>
      <c r="D391" s="1"/>
      <c r="E391">
        <f>IFERROR(SUMIFS('Stock Received'!$F:$F,'Stock Received'!$D:$D,$A391,'Stock Received'!$E:$E,$C391),0)</f>
        <v>0</v>
      </c>
      <c r="F391">
        <f>IFERROR(SUMIFS('Arrangement Tracker'!$F:$F,'Arrangement Tracker'!$D:$D,$A391,'Arrangement Tracker'!$E:$E,$C391),0)</f>
        <v>0</v>
      </c>
      <c r="G391">
        <f>IFERROR(SUMIFS('Losses &amp; Damages'!$E:$E,'Losses &amp; Damages'!$C:$C,$A391,'Losses &amp; Damages'!$D:$D,$C391),0)</f>
        <v>0</v>
      </c>
      <c r="H391">
        <f t="shared" si="6"/>
        <v>0</v>
      </c>
    </row>
    <row r="392" spans="1:8" x14ac:dyDescent="0.25">
      <c r="A392" s="1"/>
      <c r="B392" s="1"/>
      <c r="C392" s="1"/>
      <c r="D392" s="1"/>
      <c r="E392">
        <f>IFERROR(SUMIFS('Stock Received'!$F:$F,'Stock Received'!$D:$D,$A392,'Stock Received'!$E:$E,$C392),0)</f>
        <v>0</v>
      </c>
      <c r="F392">
        <f>IFERROR(SUMIFS('Arrangement Tracker'!$F:$F,'Arrangement Tracker'!$D:$D,$A392,'Arrangement Tracker'!$E:$E,$C392),0)</f>
        <v>0</v>
      </c>
      <c r="G392">
        <f>IFERROR(SUMIFS('Losses &amp; Damages'!$E:$E,'Losses &amp; Damages'!$C:$C,$A392,'Losses &amp; Damages'!$D:$D,$C392),0)</f>
        <v>0</v>
      </c>
      <c r="H392">
        <f t="shared" si="6"/>
        <v>0</v>
      </c>
    </row>
    <row r="393" spans="1:8" x14ac:dyDescent="0.25">
      <c r="A393" s="1"/>
      <c r="B393" s="1"/>
      <c r="C393" s="1"/>
      <c r="D393" s="1"/>
      <c r="E393">
        <f>IFERROR(SUMIFS('Stock Received'!$F:$F,'Stock Received'!$D:$D,$A393,'Stock Received'!$E:$E,$C393),0)</f>
        <v>0</v>
      </c>
      <c r="F393">
        <f>IFERROR(SUMIFS('Arrangement Tracker'!$F:$F,'Arrangement Tracker'!$D:$D,$A393,'Arrangement Tracker'!$E:$E,$C393),0)</f>
        <v>0</v>
      </c>
      <c r="G393">
        <f>IFERROR(SUMIFS('Losses &amp; Damages'!$E:$E,'Losses &amp; Damages'!$C:$C,$A393,'Losses &amp; Damages'!$D:$D,$C393),0)</f>
        <v>0</v>
      </c>
      <c r="H393">
        <f t="shared" si="6"/>
        <v>0</v>
      </c>
    </row>
    <row r="394" spans="1:8" x14ac:dyDescent="0.25">
      <c r="A394" s="1"/>
      <c r="B394" s="1"/>
      <c r="C394" s="1"/>
      <c r="D394" s="1"/>
      <c r="E394">
        <f>IFERROR(SUMIFS('Stock Received'!$F:$F,'Stock Received'!$D:$D,$A394,'Stock Received'!$E:$E,$C394),0)</f>
        <v>0</v>
      </c>
      <c r="F394">
        <f>IFERROR(SUMIFS('Arrangement Tracker'!$F:$F,'Arrangement Tracker'!$D:$D,$A394,'Arrangement Tracker'!$E:$E,$C394),0)</f>
        <v>0</v>
      </c>
      <c r="G394">
        <f>IFERROR(SUMIFS('Losses &amp; Damages'!$E:$E,'Losses &amp; Damages'!$C:$C,$A394,'Losses &amp; Damages'!$D:$D,$C394),0)</f>
        <v>0</v>
      </c>
      <c r="H394">
        <f t="shared" si="6"/>
        <v>0</v>
      </c>
    </row>
    <row r="395" spans="1:8" x14ac:dyDescent="0.25">
      <c r="A395" s="1"/>
      <c r="B395" s="1"/>
      <c r="C395" s="1"/>
      <c r="D395" s="1"/>
      <c r="E395">
        <f>IFERROR(SUMIFS('Stock Received'!$F:$F,'Stock Received'!$D:$D,$A395,'Stock Received'!$E:$E,$C395),0)</f>
        <v>0</v>
      </c>
      <c r="F395">
        <f>IFERROR(SUMIFS('Arrangement Tracker'!$F:$F,'Arrangement Tracker'!$D:$D,$A395,'Arrangement Tracker'!$E:$E,$C395),0)</f>
        <v>0</v>
      </c>
      <c r="G395">
        <f>IFERROR(SUMIFS('Losses &amp; Damages'!$E:$E,'Losses &amp; Damages'!$C:$C,$A395,'Losses &amp; Damages'!$D:$D,$C395),0)</f>
        <v>0</v>
      </c>
      <c r="H395">
        <f t="shared" si="6"/>
        <v>0</v>
      </c>
    </row>
    <row r="396" spans="1:8" x14ac:dyDescent="0.25">
      <c r="A396" s="1"/>
      <c r="B396" s="1"/>
      <c r="C396" s="1"/>
      <c r="D396" s="1"/>
      <c r="E396">
        <f>IFERROR(SUMIFS('Stock Received'!$F:$F,'Stock Received'!$D:$D,$A396,'Stock Received'!$E:$E,$C396),0)</f>
        <v>0</v>
      </c>
      <c r="F396">
        <f>IFERROR(SUMIFS('Arrangement Tracker'!$F:$F,'Arrangement Tracker'!$D:$D,$A396,'Arrangement Tracker'!$E:$E,$C396),0)</f>
        <v>0</v>
      </c>
      <c r="G396">
        <f>IFERROR(SUMIFS('Losses &amp; Damages'!$E:$E,'Losses &amp; Damages'!$C:$C,$A396,'Losses &amp; Damages'!$D:$D,$C396),0)</f>
        <v>0</v>
      </c>
      <c r="H396">
        <f t="shared" si="6"/>
        <v>0</v>
      </c>
    </row>
    <row r="397" spans="1:8" x14ac:dyDescent="0.25">
      <c r="A397" s="1"/>
      <c r="B397" s="1"/>
      <c r="C397" s="1"/>
      <c r="D397" s="1"/>
      <c r="E397">
        <f>IFERROR(SUMIFS('Stock Received'!$F:$F,'Stock Received'!$D:$D,$A397,'Stock Received'!$E:$E,$C397),0)</f>
        <v>0</v>
      </c>
      <c r="F397">
        <f>IFERROR(SUMIFS('Arrangement Tracker'!$F:$F,'Arrangement Tracker'!$D:$D,$A397,'Arrangement Tracker'!$E:$E,$C397),0)</f>
        <v>0</v>
      </c>
      <c r="G397">
        <f>IFERROR(SUMIFS('Losses &amp; Damages'!$E:$E,'Losses &amp; Damages'!$C:$C,$A397,'Losses &amp; Damages'!$D:$D,$C397),0)</f>
        <v>0</v>
      </c>
      <c r="H397">
        <f t="shared" si="6"/>
        <v>0</v>
      </c>
    </row>
    <row r="398" spans="1:8" x14ac:dyDescent="0.25">
      <c r="A398" s="1"/>
      <c r="B398" s="1"/>
      <c r="C398" s="1"/>
      <c r="D398" s="1"/>
      <c r="E398">
        <f>IFERROR(SUMIFS('Stock Received'!$F:$F,'Stock Received'!$D:$D,$A398,'Stock Received'!$E:$E,$C398),0)</f>
        <v>0</v>
      </c>
      <c r="F398">
        <f>IFERROR(SUMIFS('Arrangement Tracker'!$F:$F,'Arrangement Tracker'!$D:$D,$A398,'Arrangement Tracker'!$E:$E,$C398),0)</f>
        <v>0</v>
      </c>
      <c r="G398">
        <f>IFERROR(SUMIFS('Losses &amp; Damages'!$E:$E,'Losses &amp; Damages'!$C:$C,$A398,'Losses &amp; Damages'!$D:$D,$C398),0)</f>
        <v>0</v>
      </c>
      <c r="H398">
        <f t="shared" si="6"/>
        <v>0</v>
      </c>
    </row>
    <row r="399" spans="1:8" x14ac:dyDescent="0.25">
      <c r="A399" s="1"/>
      <c r="B399" s="1"/>
      <c r="C399" s="1"/>
      <c r="D399" s="1"/>
      <c r="E399">
        <f>IFERROR(SUMIFS('Stock Received'!$F:$F,'Stock Received'!$D:$D,$A399,'Stock Received'!$E:$E,$C399),0)</f>
        <v>0</v>
      </c>
      <c r="F399">
        <f>IFERROR(SUMIFS('Arrangement Tracker'!$F:$F,'Arrangement Tracker'!$D:$D,$A399,'Arrangement Tracker'!$E:$E,$C399),0)</f>
        <v>0</v>
      </c>
      <c r="G399">
        <f>IFERROR(SUMIFS('Losses &amp; Damages'!$E:$E,'Losses &amp; Damages'!$C:$C,$A399,'Losses &amp; Damages'!$D:$D,$C399),0)</f>
        <v>0</v>
      </c>
      <c r="H399">
        <f t="shared" si="6"/>
        <v>0</v>
      </c>
    </row>
    <row r="400" spans="1:8" x14ac:dyDescent="0.25">
      <c r="A400" s="1"/>
      <c r="B400" s="1"/>
      <c r="C400" s="1"/>
      <c r="D400" s="1"/>
      <c r="E400">
        <f>IFERROR(SUMIFS('Stock Received'!$F:$F,'Stock Received'!$D:$D,$A400,'Stock Received'!$E:$E,$C400),0)</f>
        <v>0</v>
      </c>
      <c r="F400">
        <f>IFERROR(SUMIFS('Arrangement Tracker'!$F:$F,'Arrangement Tracker'!$D:$D,$A400,'Arrangement Tracker'!$E:$E,$C400),0)</f>
        <v>0</v>
      </c>
      <c r="G400">
        <f>IFERROR(SUMIFS('Losses &amp; Damages'!$E:$E,'Losses &amp; Damages'!$C:$C,$A400,'Losses &amp; Damages'!$D:$D,$C400),0)</f>
        <v>0</v>
      </c>
      <c r="H400">
        <f t="shared" si="6"/>
        <v>0</v>
      </c>
    </row>
    <row r="401" spans="1:8" x14ac:dyDescent="0.25">
      <c r="A401" s="1"/>
      <c r="B401" s="1"/>
      <c r="C401" s="1"/>
      <c r="D401" s="1"/>
      <c r="E401">
        <f>IFERROR(SUMIFS('Stock Received'!$F:$F,'Stock Received'!$D:$D,$A401,'Stock Received'!$E:$E,$C401),0)</f>
        <v>0</v>
      </c>
      <c r="F401">
        <f>IFERROR(SUMIFS('Arrangement Tracker'!$F:$F,'Arrangement Tracker'!$D:$D,$A401,'Arrangement Tracker'!$E:$E,$C401),0)</f>
        <v>0</v>
      </c>
      <c r="G401">
        <f>IFERROR(SUMIFS('Losses &amp; Damages'!$E:$E,'Losses &amp; Damages'!$C:$C,$A401,'Losses &amp; Damages'!$D:$D,$C401),0)</f>
        <v>0</v>
      </c>
      <c r="H401">
        <f t="shared" si="6"/>
        <v>0</v>
      </c>
    </row>
    <row r="402" spans="1:8" x14ac:dyDescent="0.25">
      <c r="A402" s="1"/>
      <c r="B402" s="1"/>
      <c r="C402" s="1"/>
      <c r="D402" s="1"/>
      <c r="E402">
        <f>IFERROR(SUMIFS('Stock Received'!$F:$F,'Stock Received'!$D:$D,$A402,'Stock Received'!$E:$E,$C402),0)</f>
        <v>0</v>
      </c>
      <c r="F402">
        <f>IFERROR(SUMIFS('Arrangement Tracker'!$F:$F,'Arrangement Tracker'!$D:$D,$A402,'Arrangement Tracker'!$E:$E,$C402),0)</f>
        <v>0</v>
      </c>
      <c r="G402">
        <f>IFERROR(SUMIFS('Losses &amp; Damages'!$E:$E,'Losses &amp; Damages'!$C:$C,$A402,'Losses &amp; Damages'!$D:$D,$C402),0)</f>
        <v>0</v>
      </c>
      <c r="H402">
        <f t="shared" si="6"/>
        <v>0</v>
      </c>
    </row>
    <row r="403" spans="1:8" x14ac:dyDescent="0.25">
      <c r="A403" s="1"/>
      <c r="B403" s="1"/>
      <c r="C403" s="1"/>
      <c r="D403" s="1"/>
      <c r="E403">
        <f>IFERROR(SUMIFS('Stock Received'!$F:$F,'Stock Received'!$D:$D,$A403,'Stock Received'!$E:$E,$C403),0)</f>
        <v>0</v>
      </c>
      <c r="F403">
        <f>IFERROR(SUMIFS('Arrangement Tracker'!$F:$F,'Arrangement Tracker'!$D:$D,$A403,'Arrangement Tracker'!$E:$E,$C403),0)</f>
        <v>0</v>
      </c>
      <c r="G403">
        <f>IFERROR(SUMIFS('Losses &amp; Damages'!$E:$E,'Losses &amp; Damages'!$C:$C,$A403,'Losses &amp; Damages'!$D:$D,$C403),0)</f>
        <v>0</v>
      </c>
      <c r="H403">
        <f t="shared" si="6"/>
        <v>0</v>
      </c>
    </row>
    <row r="404" spans="1:8" x14ac:dyDescent="0.25">
      <c r="A404" s="1"/>
      <c r="B404" s="1"/>
      <c r="C404" s="1"/>
      <c r="D404" s="1"/>
      <c r="E404">
        <f>IFERROR(SUMIFS('Stock Received'!$F:$F,'Stock Received'!$D:$D,$A404,'Stock Received'!$E:$E,$C404),0)</f>
        <v>0</v>
      </c>
      <c r="F404">
        <f>IFERROR(SUMIFS('Arrangement Tracker'!$F:$F,'Arrangement Tracker'!$D:$D,$A404,'Arrangement Tracker'!$E:$E,$C404),0)</f>
        <v>0</v>
      </c>
      <c r="G404">
        <f>IFERROR(SUMIFS('Losses &amp; Damages'!$E:$E,'Losses &amp; Damages'!$C:$C,$A404,'Losses &amp; Damages'!$D:$D,$C404),0)</f>
        <v>0</v>
      </c>
      <c r="H404">
        <f t="shared" si="6"/>
        <v>0</v>
      </c>
    </row>
    <row r="405" spans="1:8" x14ac:dyDescent="0.25">
      <c r="A405" s="1"/>
      <c r="B405" s="1"/>
      <c r="C405" s="1"/>
      <c r="D405" s="1"/>
      <c r="E405">
        <f>IFERROR(SUMIFS('Stock Received'!$F:$F,'Stock Received'!$D:$D,$A405,'Stock Received'!$E:$E,$C405),0)</f>
        <v>0</v>
      </c>
      <c r="F405">
        <f>IFERROR(SUMIFS('Arrangement Tracker'!$F:$F,'Arrangement Tracker'!$D:$D,$A405,'Arrangement Tracker'!$E:$E,$C405),0)</f>
        <v>0</v>
      </c>
      <c r="G405">
        <f>IFERROR(SUMIFS('Losses &amp; Damages'!$E:$E,'Losses &amp; Damages'!$C:$C,$A405,'Losses &amp; Damages'!$D:$D,$C405),0)</f>
        <v>0</v>
      </c>
      <c r="H405">
        <f t="shared" si="6"/>
        <v>0</v>
      </c>
    </row>
    <row r="406" spans="1:8" x14ac:dyDescent="0.25">
      <c r="A406" s="1"/>
      <c r="B406" s="1"/>
      <c r="C406" s="1"/>
      <c r="D406" s="1"/>
      <c r="E406">
        <f>IFERROR(SUMIFS('Stock Received'!$F:$F,'Stock Received'!$D:$D,$A406,'Stock Received'!$E:$E,$C406),0)</f>
        <v>0</v>
      </c>
      <c r="F406">
        <f>IFERROR(SUMIFS('Arrangement Tracker'!$F:$F,'Arrangement Tracker'!$D:$D,$A406,'Arrangement Tracker'!$E:$E,$C406),0)</f>
        <v>0</v>
      </c>
      <c r="G406">
        <f>IFERROR(SUMIFS('Losses &amp; Damages'!$E:$E,'Losses &amp; Damages'!$C:$C,$A406,'Losses &amp; Damages'!$D:$D,$C406),0)</f>
        <v>0</v>
      </c>
      <c r="H406">
        <f t="shared" si="6"/>
        <v>0</v>
      </c>
    </row>
    <row r="407" spans="1:8" x14ac:dyDescent="0.25">
      <c r="A407" s="1"/>
      <c r="B407" s="1"/>
      <c r="C407" s="1"/>
      <c r="D407" s="1"/>
      <c r="E407">
        <f>IFERROR(SUMIFS('Stock Received'!$F:$F,'Stock Received'!$D:$D,$A407,'Stock Received'!$E:$E,$C407),0)</f>
        <v>0</v>
      </c>
      <c r="F407">
        <f>IFERROR(SUMIFS('Arrangement Tracker'!$F:$F,'Arrangement Tracker'!$D:$D,$A407,'Arrangement Tracker'!$E:$E,$C407),0)</f>
        <v>0</v>
      </c>
      <c r="G407">
        <f>IFERROR(SUMIFS('Losses &amp; Damages'!$E:$E,'Losses &amp; Damages'!$C:$C,$A407,'Losses &amp; Damages'!$D:$D,$C407),0)</f>
        <v>0</v>
      </c>
      <c r="H407">
        <f t="shared" si="6"/>
        <v>0</v>
      </c>
    </row>
    <row r="408" spans="1:8" x14ac:dyDescent="0.25">
      <c r="A408" s="1"/>
      <c r="B408" s="1"/>
      <c r="C408" s="1"/>
      <c r="D408" s="1"/>
      <c r="E408">
        <f>IFERROR(SUMIFS('Stock Received'!$F:$F,'Stock Received'!$D:$D,$A408,'Stock Received'!$E:$E,$C408),0)</f>
        <v>0</v>
      </c>
      <c r="F408">
        <f>IFERROR(SUMIFS('Arrangement Tracker'!$F:$F,'Arrangement Tracker'!$D:$D,$A408,'Arrangement Tracker'!$E:$E,$C408),0)</f>
        <v>0</v>
      </c>
      <c r="G408">
        <f>IFERROR(SUMIFS('Losses &amp; Damages'!$E:$E,'Losses &amp; Damages'!$C:$C,$A408,'Losses &amp; Damages'!$D:$D,$C408),0)</f>
        <v>0</v>
      </c>
      <c r="H408">
        <f t="shared" si="6"/>
        <v>0</v>
      </c>
    </row>
    <row r="409" spans="1:8" x14ac:dyDescent="0.25">
      <c r="A409" s="1"/>
      <c r="B409" s="1"/>
      <c r="C409" s="1"/>
      <c r="D409" s="1"/>
      <c r="E409">
        <f>IFERROR(SUMIFS('Stock Received'!$F:$F,'Stock Received'!$D:$D,$A409,'Stock Received'!$E:$E,$C409),0)</f>
        <v>0</v>
      </c>
      <c r="F409">
        <f>IFERROR(SUMIFS('Arrangement Tracker'!$F:$F,'Arrangement Tracker'!$D:$D,$A409,'Arrangement Tracker'!$E:$E,$C409),0)</f>
        <v>0</v>
      </c>
      <c r="G409">
        <f>IFERROR(SUMIFS('Losses &amp; Damages'!$E:$E,'Losses &amp; Damages'!$C:$C,$A409,'Losses &amp; Damages'!$D:$D,$C409),0)</f>
        <v>0</v>
      </c>
      <c r="H409">
        <f t="shared" si="6"/>
        <v>0</v>
      </c>
    </row>
    <row r="410" spans="1:8" x14ac:dyDescent="0.25">
      <c r="A410" s="1"/>
      <c r="B410" s="1"/>
      <c r="C410" s="1"/>
      <c r="D410" s="1"/>
      <c r="E410">
        <f>IFERROR(SUMIFS('Stock Received'!$F:$F,'Stock Received'!$D:$D,$A410,'Stock Received'!$E:$E,$C410),0)</f>
        <v>0</v>
      </c>
      <c r="F410">
        <f>IFERROR(SUMIFS('Arrangement Tracker'!$F:$F,'Arrangement Tracker'!$D:$D,$A410,'Arrangement Tracker'!$E:$E,$C410),0)</f>
        <v>0</v>
      </c>
      <c r="G410">
        <f>IFERROR(SUMIFS('Losses &amp; Damages'!$E:$E,'Losses &amp; Damages'!$C:$C,$A410,'Losses &amp; Damages'!$D:$D,$C410),0)</f>
        <v>0</v>
      </c>
      <c r="H410">
        <f t="shared" si="6"/>
        <v>0</v>
      </c>
    </row>
    <row r="411" spans="1:8" x14ac:dyDescent="0.25">
      <c r="A411" s="1"/>
      <c r="B411" s="1"/>
      <c r="C411" s="1"/>
      <c r="D411" s="1"/>
      <c r="E411">
        <f>IFERROR(SUMIFS('Stock Received'!$F:$F,'Stock Received'!$D:$D,$A411,'Stock Received'!$E:$E,$C411),0)</f>
        <v>0</v>
      </c>
      <c r="F411">
        <f>IFERROR(SUMIFS('Arrangement Tracker'!$F:$F,'Arrangement Tracker'!$D:$D,$A411,'Arrangement Tracker'!$E:$E,$C411),0)</f>
        <v>0</v>
      </c>
      <c r="G411">
        <f>IFERROR(SUMIFS('Losses &amp; Damages'!$E:$E,'Losses &amp; Damages'!$C:$C,$A411,'Losses &amp; Damages'!$D:$D,$C411),0)</f>
        <v>0</v>
      </c>
      <c r="H411">
        <f t="shared" si="6"/>
        <v>0</v>
      </c>
    </row>
    <row r="412" spans="1:8" x14ac:dyDescent="0.25">
      <c r="A412" s="1"/>
      <c r="B412" s="1"/>
      <c r="C412" s="1"/>
      <c r="D412" s="1"/>
      <c r="E412">
        <f>IFERROR(SUMIFS('Stock Received'!$F:$F,'Stock Received'!$D:$D,$A412,'Stock Received'!$E:$E,$C412),0)</f>
        <v>0</v>
      </c>
      <c r="F412">
        <f>IFERROR(SUMIFS('Arrangement Tracker'!$F:$F,'Arrangement Tracker'!$D:$D,$A412,'Arrangement Tracker'!$E:$E,$C412),0)</f>
        <v>0</v>
      </c>
      <c r="G412">
        <f>IFERROR(SUMIFS('Losses &amp; Damages'!$E:$E,'Losses &amp; Damages'!$C:$C,$A412,'Losses &amp; Damages'!$D:$D,$C412),0)</f>
        <v>0</v>
      </c>
      <c r="H412">
        <f t="shared" si="6"/>
        <v>0</v>
      </c>
    </row>
    <row r="413" spans="1:8" x14ac:dyDescent="0.25">
      <c r="A413" s="1"/>
      <c r="B413" s="1"/>
      <c r="C413" s="1"/>
      <c r="D413" s="1"/>
      <c r="E413">
        <f>IFERROR(SUMIFS('Stock Received'!$F:$F,'Stock Received'!$D:$D,$A413,'Stock Received'!$E:$E,$C413),0)</f>
        <v>0</v>
      </c>
      <c r="F413">
        <f>IFERROR(SUMIFS('Arrangement Tracker'!$F:$F,'Arrangement Tracker'!$D:$D,$A413,'Arrangement Tracker'!$E:$E,$C413),0)</f>
        <v>0</v>
      </c>
      <c r="G413">
        <f>IFERROR(SUMIFS('Losses &amp; Damages'!$E:$E,'Losses &amp; Damages'!$C:$C,$A413,'Losses &amp; Damages'!$D:$D,$C413),0)</f>
        <v>0</v>
      </c>
      <c r="H413">
        <f t="shared" si="6"/>
        <v>0</v>
      </c>
    </row>
    <row r="414" spans="1:8" x14ac:dyDescent="0.25">
      <c r="A414" s="1"/>
      <c r="B414" s="1"/>
      <c r="C414" s="1"/>
      <c r="D414" s="1"/>
      <c r="E414">
        <f>IFERROR(SUMIFS('Stock Received'!$F:$F,'Stock Received'!$D:$D,$A414,'Stock Received'!$E:$E,$C414),0)</f>
        <v>0</v>
      </c>
      <c r="F414">
        <f>IFERROR(SUMIFS('Arrangement Tracker'!$F:$F,'Arrangement Tracker'!$D:$D,$A414,'Arrangement Tracker'!$E:$E,$C414),0)</f>
        <v>0</v>
      </c>
      <c r="G414">
        <f>IFERROR(SUMIFS('Losses &amp; Damages'!$E:$E,'Losses &amp; Damages'!$C:$C,$A414,'Losses &amp; Damages'!$D:$D,$C414),0)</f>
        <v>0</v>
      </c>
      <c r="H414">
        <f t="shared" si="6"/>
        <v>0</v>
      </c>
    </row>
    <row r="415" spans="1:8" x14ac:dyDescent="0.25">
      <c r="A415" s="1"/>
      <c r="B415" s="1"/>
      <c r="C415" s="1"/>
      <c r="D415" s="1"/>
      <c r="E415">
        <f>IFERROR(SUMIFS('Stock Received'!$F:$F,'Stock Received'!$D:$D,$A415,'Stock Received'!$E:$E,$C415),0)</f>
        <v>0</v>
      </c>
      <c r="F415">
        <f>IFERROR(SUMIFS('Arrangement Tracker'!$F:$F,'Arrangement Tracker'!$D:$D,$A415,'Arrangement Tracker'!$E:$E,$C415),0)</f>
        <v>0</v>
      </c>
      <c r="G415">
        <f>IFERROR(SUMIFS('Losses &amp; Damages'!$E:$E,'Losses &amp; Damages'!$C:$C,$A415,'Losses &amp; Damages'!$D:$D,$C415),0)</f>
        <v>0</v>
      </c>
      <c r="H415">
        <f t="shared" si="6"/>
        <v>0</v>
      </c>
    </row>
    <row r="416" spans="1:8" x14ac:dyDescent="0.25">
      <c r="A416" s="1"/>
      <c r="B416" s="1"/>
      <c r="C416" s="1"/>
      <c r="D416" s="1"/>
      <c r="E416">
        <f>IFERROR(SUMIFS('Stock Received'!$F:$F,'Stock Received'!$D:$D,$A416,'Stock Received'!$E:$E,$C416),0)</f>
        <v>0</v>
      </c>
      <c r="F416">
        <f>IFERROR(SUMIFS('Arrangement Tracker'!$F:$F,'Arrangement Tracker'!$D:$D,$A416,'Arrangement Tracker'!$E:$E,$C416),0)</f>
        <v>0</v>
      </c>
      <c r="G416">
        <f>IFERROR(SUMIFS('Losses &amp; Damages'!$E:$E,'Losses &amp; Damages'!$C:$C,$A416,'Losses &amp; Damages'!$D:$D,$C416),0)</f>
        <v>0</v>
      </c>
      <c r="H416">
        <f t="shared" si="6"/>
        <v>0</v>
      </c>
    </row>
    <row r="417" spans="1:8" x14ac:dyDescent="0.25">
      <c r="A417" s="1"/>
      <c r="B417" s="1"/>
      <c r="C417" s="1"/>
      <c r="D417" s="1"/>
      <c r="E417">
        <f>IFERROR(SUMIFS('Stock Received'!$F:$F,'Stock Received'!$D:$D,$A417,'Stock Received'!$E:$E,$C417),0)</f>
        <v>0</v>
      </c>
      <c r="F417">
        <f>IFERROR(SUMIFS('Arrangement Tracker'!$F:$F,'Arrangement Tracker'!$D:$D,$A417,'Arrangement Tracker'!$E:$E,$C417),0)</f>
        <v>0</v>
      </c>
      <c r="G417">
        <f>IFERROR(SUMIFS('Losses &amp; Damages'!$E:$E,'Losses &amp; Damages'!$C:$C,$A417,'Losses &amp; Damages'!$D:$D,$C417),0)</f>
        <v>0</v>
      </c>
      <c r="H417">
        <f t="shared" si="6"/>
        <v>0</v>
      </c>
    </row>
    <row r="418" spans="1:8" x14ac:dyDescent="0.25">
      <c r="A418" s="1"/>
      <c r="B418" s="1"/>
      <c r="C418" s="1"/>
      <c r="D418" s="1"/>
      <c r="E418">
        <f>IFERROR(SUMIFS('Stock Received'!$F:$F,'Stock Received'!$D:$D,$A418,'Stock Received'!$E:$E,$C418),0)</f>
        <v>0</v>
      </c>
      <c r="F418">
        <f>IFERROR(SUMIFS('Arrangement Tracker'!$F:$F,'Arrangement Tracker'!$D:$D,$A418,'Arrangement Tracker'!$E:$E,$C418),0)</f>
        <v>0</v>
      </c>
      <c r="G418">
        <f>IFERROR(SUMIFS('Losses &amp; Damages'!$E:$E,'Losses &amp; Damages'!$C:$C,$A418,'Losses &amp; Damages'!$D:$D,$C418),0)</f>
        <v>0</v>
      </c>
      <c r="H418">
        <f t="shared" si="6"/>
        <v>0</v>
      </c>
    </row>
    <row r="419" spans="1:8" x14ac:dyDescent="0.25">
      <c r="A419" s="1"/>
      <c r="B419" s="1"/>
      <c r="C419" s="1"/>
      <c r="D419" s="1"/>
      <c r="E419">
        <f>IFERROR(SUMIFS('Stock Received'!$F:$F,'Stock Received'!$D:$D,$A419,'Stock Received'!$E:$E,$C419),0)</f>
        <v>0</v>
      </c>
      <c r="F419">
        <f>IFERROR(SUMIFS('Arrangement Tracker'!$F:$F,'Arrangement Tracker'!$D:$D,$A419,'Arrangement Tracker'!$E:$E,$C419),0)</f>
        <v>0</v>
      </c>
      <c r="G419">
        <f>IFERROR(SUMIFS('Losses &amp; Damages'!$E:$E,'Losses &amp; Damages'!$C:$C,$A419,'Losses &amp; Damages'!$D:$D,$C419),0)</f>
        <v>0</v>
      </c>
      <c r="H419">
        <f t="shared" si="6"/>
        <v>0</v>
      </c>
    </row>
    <row r="420" spans="1:8" x14ac:dyDescent="0.25">
      <c r="A420" s="1"/>
      <c r="B420" s="1"/>
      <c r="C420" s="1"/>
      <c r="D420" s="1"/>
      <c r="E420">
        <f>IFERROR(SUMIFS('Stock Received'!$F:$F,'Stock Received'!$D:$D,$A420,'Stock Received'!$E:$E,$C420),0)</f>
        <v>0</v>
      </c>
      <c r="F420">
        <f>IFERROR(SUMIFS('Arrangement Tracker'!$F:$F,'Arrangement Tracker'!$D:$D,$A420,'Arrangement Tracker'!$E:$E,$C420),0)</f>
        <v>0</v>
      </c>
      <c r="G420">
        <f>IFERROR(SUMIFS('Losses &amp; Damages'!$E:$E,'Losses &amp; Damages'!$C:$C,$A420,'Losses &amp; Damages'!$D:$D,$C420),0)</f>
        <v>0</v>
      </c>
      <c r="H420">
        <f t="shared" si="6"/>
        <v>0</v>
      </c>
    </row>
    <row r="421" spans="1:8" x14ac:dyDescent="0.25">
      <c r="A421" s="1"/>
      <c r="B421" s="1"/>
      <c r="C421" s="1"/>
      <c r="D421" s="1"/>
      <c r="E421">
        <f>IFERROR(SUMIFS('Stock Received'!$F:$F,'Stock Received'!$D:$D,$A421,'Stock Received'!$E:$E,$C421),0)</f>
        <v>0</v>
      </c>
      <c r="F421">
        <f>IFERROR(SUMIFS('Arrangement Tracker'!$F:$F,'Arrangement Tracker'!$D:$D,$A421,'Arrangement Tracker'!$E:$E,$C421),0)</f>
        <v>0</v>
      </c>
      <c r="G421">
        <f>IFERROR(SUMIFS('Losses &amp; Damages'!$E:$E,'Losses &amp; Damages'!$C:$C,$A421,'Losses &amp; Damages'!$D:$D,$C421),0)</f>
        <v>0</v>
      </c>
      <c r="H421">
        <f t="shared" si="6"/>
        <v>0</v>
      </c>
    </row>
    <row r="422" spans="1:8" x14ac:dyDescent="0.25">
      <c r="A422" s="1"/>
      <c r="B422" s="1"/>
      <c r="C422" s="1"/>
      <c r="D422" s="1"/>
      <c r="E422">
        <f>IFERROR(SUMIFS('Stock Received'!$F:$F,'Stock Received'!$D:$D,$A422,'Stock Received'!$E:$E,$C422),0)</f>
        <v>0</v>
      </c>
      <c r="F422">
        <f>IFERROR(SUMIFS('Arrangement Tracker'!$F:$F,'Arrangement Tracker'!$D:$D,$A422,'Arrangement Tracker'!$E:$E,$C422),0)</f>
        <v>0</v>
      </c>
      <c r="G422">
        <f>IFERROR(SUMIFS('Losses &amp; Damages'!$E:$E,'Losses &amp; Damages'!$C:$C,$A422,'Losses &amp; Damages'!$D:$D,$C422),0)</f>
        <v>0</v>
      </c>
      <c r="H422">
        <f t="shared" si="6"/>
        <v>0</v>
      </c>
    </row>
    <row r="423" spans="1:8" x14ac:dyDescent="0.25">
      <c r="A423" s="1"/>
      <c r="B423" s="1"/>
      <c r="C423" s="1"/>
      <c r="D423" s="1"/>
      <c r="E423">
        <f>IFERROR(SUMIFS('Stock Received'!$F:$F,'Stock Received'!$D:$D,$A423,'Stock Received'!$E:$E,$C423),0)</f>
        <v>0</v>
      </c>
      <c r="F423">
        <f>IFERROR(SUMIFS('Arrangement Tracker'!$F:$F,'Arrangement Tracker'!$D:$D,$A423,'Arrangement Tracker'!$E:$E,$C423),0)</f>
        <v>0</v>
      </c>
      <c r="G423">
        <f>IFERROR(SUMIFS('Losses &amp; Damages'!$E:$E,'Losses &amp; Damages'!$C:$C,$A423,'Losses &amp; Damages'!$D:$D,$C423),0)</f>
        <v>0</v>
      </c>
      <c r="H423">
        <f t="shared" si="6"/>
        <v>0</v>
      </c>
    </row>
    <row r="424" spans="1:8" x14ac:dyDescent="0.25">
      <c r="A424" s="1"/>
      <c r="B424" s="1"/>
      <c r="C424" s="1"/>
      <c r="D424" s="1"/>
      <c r="E424">
        <f>IFERROR(SUMIFS('Stock Received'!$F:$F,'Stock Received'!$D:$D,$A424,'Stock Received'!$E:$E,$C424),0)</f>
        <v>0</v>
      </c>
      <c r="F424">
        <f>IFERROR(SUMIFS('Arrangement Tracker'!$F:$F,'Arrangement Tracker'!$D:$D,$A424,'Arrangement Tracker'!$E:$E,$C424),0)</f>
        <v>0</v>
      </c>
      <c r="G424">
        <f>IFERROR(SUMIFS('Losses &amp; Damages'!$E:$E,'Losses &amp; Damages'!$C:$C,$A424,'Losses &amp; Damages'!$D:$D,$C424),0)</f>
        <v>0</v>
      </c>
      <c r="H424">
        <f t="shared" si="6"/>
        <v>0</v>
      </c>
    </row>
    <row r="425" spans="1:8" x14ac:dyDescent="0.25">
      <c r="A425" s="1"/>
      <c r="B425" s="1"/>
      <c r="C425" s="1"/>
      <c r="D425" s="1"/>
      <c r="E425">
        <f>IFERROR(SUMIFS('Stock Received'!$F:$F,'Stock Received'!$D:$D,$A425,'Stock Received'!$E:$E,$C425),0)</f>
        <v>0</v>
      </c>
      <c r="F425">
        <f>IFERROR(SUMIFS('Arrangement Tracker'!$F:$F,'Arrangement Tracker'!$D:$D,$A425,'Arrangement Tracker'!$E:$E,$C425),0)</f>
        <v>0</v>
      </c>
      <c r="G425">
        <f>IFERROR(SUMIFS('Losses &amp; Damages'!$E:$E,'Losses &amp; Damages'!$C:$C,$A425,'Losses &amp; Damages'!$D:$D,$C425),0)</f>
        <v>0</v>
      </c>
      <c r="H425">
        <f t="shared" si="6"/>
        <v>0</v>
      </c>
    </row>
    <row r="426" spans="1:8" x14ac:dyDescent="0.25">
      <c r="A426" s="1"/>
      <c r="B426" s="1"/>
      <c r="C426" s="1"/>
      <c r="D426" s="1"/>
      <c r="E426">
        <f>IFERROR(SUMIFS('Stock Received'!$F:$F,'Stock Received'!$D:$D,$A426,'Stock Received'!$E:$E,$C426),0)</f>
        <v>0</v>
      </c>
      <c r="F426">
        <f>IFERROR(SUMIFS('Arrangement Tracker'!$F:$F,'Arrangement Tracker'!$D:$D,$A426,'Arrangement Tracker'!$E:$E,$C426),0)</f>
        <v>0</v>
      </c>
      <c r="G426">
        <f>IFERROR(SUMIFS('Losses &amp; Damages'!$E:$E,'Losses &amp; Damages'!$C:$C,$A426,'Losses &amp; Damages'!$D:$D,$C426),0)</f>
        <v>0</v>
      </c>
      <c r="H426">
        <f t="shared" si="6"/>
        <v>0</v>
      </c>
    </row>
    <row r="427" spans="1:8" x14ac:dyDescent="0.25">
      <c r="A427" s="1"/>
      <c r="B427" s="1"/>
      <c r="C427" s="1"/>
      <c r="D427" s="1"/>
      <c r="E427">
        <f>IFERROR(SUMIFS('Stock Received'!$F:$F,'Stock Received'!$D:$D,$A427,'Stock Received'!$E:$E,$C427),0)</f>
        <v>0</v>
      </c>
      <c r="F427">
        <f>IFERROR(SUMIFS('Arrangement Tracker'!$F:$F,'Arrangement Tracker'!$D:$D,$A427,'Arrangement Tracker'!$E:$E,$C427),0)</f>
        <v>0</v>
      </c>
      <c r="G427">
        <f>IFERROR(SUMIFS('Losses &amp; Damages'!$E:$E,'Losses &amp; Damages'!$C:$C,$A427,'Losses &amp; Damages'!$D:$D,$C427),0)</f>
        <v>0</v>
      </c>
      <c r="H427">
        <f t="shared" si="6"/>
        <v>0</v>
      </c>
    </row>
    <row r="428" spans="1:8" x14ac:dyDescent="0.25">
      <c r="A428" s="1"/>
      <c r="B428" s="1"/>
      <c r="C428" s="1"/>
      <c r="D428" s="1"/>
      <c r="E428">
        <f>IFERROR(SUMIFS('Stock Received'!$F:$F,'Stock Received'!$D:$D,$A428,'Stock Received'!$E:$E,$C428),0)</f>
        <v>0</v>
      </c>
      <c r="F428">
        <f>IFERROR(SUMIFS('Arrangement Tracker'!$F:$F,'Arrangement Tracker'!$D:$D,$A428,'Arrangement Tracker'!$E:$E,$C428),0)</f>
        <v>0</v>
      </c>
      <c r="G428">
        <f>IFERROR(SUMIFS('Losses &amp; Damages'!$E:$E,'Losses &amp; Damages'!$C:$C,$A428,'Losses &amp; Damages'!$D:$D,$C428),0)</f>
        <v>0</v>
      </c>
      <c r="H428">
        <f t="shared" si="6"/>
        <v>0</v>
      </c>
    </row>
    <row r="429" spans="1:8" x14ac:dyDescent="0.25">
      <c r="A429" s="1"/>
      <c r="B429" s="1"/>
      <c r="C429" s="1"/>
      <c r="D429" s="1"/>
      <c r="E429">
        <f>IFERROR(SUMIFS('Stock Received'!$F:$F,'Stock Received'!$D:$D,$A429,'Stock Received'!$E:$E,$C429),0)</f>
        <v>0</v>
      </c>
      <c r="F429">
        <f>IFERROR(SUMIFS('Arrangement Tracker'!$F:$F,'Arrangement Tracker'!$D:$D,$A429,'Arrangement Tracker'!$E:$E,$C429),0)</f>
        <v>0</v>
      </c>
      <c r="G429">
        <f>IFERROR(SUMIFS('Losses &amp; Damages'!$E:$E,'Losses &amp; Damages'!$C:$C,$A429,'Losses &amp; Damages'!$D:$D,$C429),0)</f>
        <v>0</v>
      </c>
      <c r="H429">
        <f t="shared" si="6"/>
        <v>0</v>
      </c>
    </row>
    <row r="430" spans="1:8" x14ac:dyDescent="0.25">
      <c r="A430" s="1"/>
      <c r="B430" s="1"/>
      <c r="C430" s="1"/>
      <c r="D430" s="1"/>
      <c r="E430">
        <f>IFERROR(SUMIFS('Stock Received'!$F:$F,'Stock Received'!$D:$D,$A430,'Stock Received'!$E:$E,$C430),0)</f>
        <v>0</v>
      </c>
      <c r="F430">
        <f>IFERROR(SUMIFS('Arrangement Tracker'!$F:$F,'Arrangement Tracker'!$D:$D,$A430,'Arrangement Tracker'!$E:$E,$C430),0)</f>
        <v>0</v>
      </c>
      <c r="G430">
        <f>IFERROR(SUMIFS('Losses &amp; Damages'!$E:$E,'Losses &amp; Damages'!$C:$C,$A430,'Losses &amp; Damages'!$D:$D,$C430),0)</f>
        <v>0</v>
      </c>
      <c r="H430">
        <f t="shared" si="6"/>
        <v>0</v>
      </c>
    </row>
    <row r="431" spans="1:8" x14ac:dyDescent="0.25">
      <c r="A431" s="1"/>
      <c r="B431" s="1"/>
      <c r="C431" s="1"/>
      <c r="D431" s="1"/>
      <c r="E431">
        <f>IFERROR(SUMIFS('Stock Received'!$F:$F,'Stock Received'!$D:$D,$A431,'Stock Received'!$E:$E,$C431),0)</f>
        <v>0</v>
      </c>
      <c r="F431">
        <f>IFERROR(SUMIFS('Arrangement Tracker'!$F:$F,'Arrangement Tracker'!$D:$D,$A431,'Arrangement Tracker'!$E:$E,$C431),0)</f>
        <v>0</v>
      </c>
      <c r="G431">
        <f>IFERROR(SUMIFS('Losses &amp; Damages'!$E:$E,'Losses &amp; Damages'!$C:$C,$A431,'Losses &amp; Damages'!$D:$D,$C431),0)</f>
        <v>0</v>
      </c>
      <c r="H431">
        <f t="shared" si="6"/>
        <v>0</v>
      </c>
    </row>
    <row r="432" spans="1:8" x14ac:dyDescent="0.25">
      <c r="A432" s="1"/>
      <c r="B432" s="1"/>
      <c r="C432" s="1"/>
      <c r="D432" s="1"/>
      <c r="E432">
        <f>IFERROR(SUMIFS('Stock Received'!$F:$F,'Stock Received'!$D:$D,$A432,'Stock Received'!$E:$E,$C432),0)</f>
        <v>0</v>
      </c>
      <c r="F432">
        <f>IFERROR(SUMIFS('Arrangement Tracker'!$F:$F,'Arrangement Tracker'!$D:$D,$A432,'Arrangement Tracker'!$E:$E,$C432),0)</f>
        <v>0</v>
      </c>
      <c r="G432">
        <f>IFERROR(SUMIFS('Losses &amp; Damages'!$E:$E,'Losses &amp; Damages'!$C:$C,$A432,'Losses &amp; Damages'!$D:$D,$C432),0)</f>
        <v>0</v>
      </c>
      <c r="H432">
        <f t="shared" si="6"/>
        <v>0</v>
      </c>
    </row>
    <row r="433" spans="1:8" x14ac:dyDescent="0.25">
      <c r="A433" s="1"/>
      <c r="B433" s="1"/>
      <c r="C433" s="1"/>
      <c r="D433" s="1"/>
      <c r="E433">
        <f>IFERROR(SUMIFS('Stock Received'!$F:$F,'Stock Received'!$D:$D,$A433,'Stock Received'!$E:$E,$C433),0)</f>
        <v>0</v>
      </c>
      <c r="F433">
        <f>IFERROR(SUMIFS('Arrangement Tracker'!$F:$F,'Arrangement Tracker'!$D:$D,$A433,'Arrangement Tracker'!$E:$E,$C433),0)</f>
        <v>0</v>
      </c>
      <c r="G433">
        <f>IFERROR(SUMIFS('Losses &amp; Damages'!$E:$E,'Losses &amp; Damages'!$C:$C,$A433,'Losses &amp; Damages'!$D:$D,$C433),0)</f>
        <v>0</v>
      </c>
      <c r="H433">
        <f t="shared" si="6"/>
        <v>0</v>
      </c>
    </row>
    <row r="434" spans="1:8" x14ac:dyDescent="0.25">
      <c r="A434" s="1"/>
      <c r="B434" s="1"/>
      <c r="C434" s="1"/>
      <c r="D434" s="1"/>
      <c r="E434">
        <f>IFERROR(SUMIFS('Stock Received'!$F:$F,'Stock Received'!$D:$D,$A434,'Stock Received'!$E:$E,$C434),0)</f>
        <v>0</v>
      </c>
      <c r="F434">
        <f>IFERROR(SUMIFS('Arrangement Tracker'!$F:$F,'Arrangement Tracker'!$D:$D,$A434,'Arrangement Tracker'!$E:$E,$C434),0)</f>
        <v>0</v>
      </c>
      <c r="G434">
        <f>IFERROR(SUMIFS('Losses &amp; Damages'!$E:$E,'Losses &amp; Damages'!$C:$C,$A434,'Losses &amp; Damages'!$D:$D,$C434),0)</f>
        <v>0</v>
      </c>
      <c r="H434">
        <f t="shared" si="6"/>
        <v>0</v>
      </c>
    </row>
    <row r="435" spans="1:8" x14ac:dyDescent="0.25">
      <c r="A435" s="1"/>
      <c r="B435" s="1"/>
      <c r="C435" s="1"/>
      <c r="D435" s="1"/>
      <c r="E435">
        <f>IFERROR(SUMIFS('Stock Received'!$F:$F,'Stock Received'!$D:$D,$A435,'Stock Received'!$E:$E,$C435),0)</f>
        <v>0</v>
      </c>
      <c r="F435">
        <f>IFERROR(SUMIFS('Arrangement Tracker'!$F:$F,'Arrangement Tracker'!$D:$D,$A435,'Arrangement Tracker'!$E:$E,$C435),0)</f>
        <v>0</v>
      </c>
      <c r="G435">
        <f>IFERROR(SUMIFS('Losses &amp; Damages'!$E:$E,'Losses &amp; Damages'!$C:$C,$A435,'Losses &amp; Damages'!$D:$D,$C435),0)</f>
        <v>0</v>
      </c>
      <c r="H435">
        <f t="shared" si="6"/>
        <v>0</v>
      </c>
    </row>
    <row r="436" spans="1:8" x14ac:dyDescent="0.25">
      <c r="A436" s="1"/>
      <c r="B436" s="1"/>
      <c r="C436" s="1"/>
      <c r="D436" s="1"/>
      <c r="E436">
        <f>IFERROR(SUMIFS('Stock Received'!$F:$F,'Stock Received'!$D:$D,$A436,'Stock Received'!$E:$E,$C436),0)</f>
        <v>0</v>
      </c>
      <c r="F436">
        <f>IFERROR(SUMIFS('Arrangement Tracker'!$F:$F,'Arrangement Tracker'!$D:$D,$A436,'Arrangement Tracker'!$E:$E,$C436),0)</f>
        <v>0</v>
      </c>
      <c r="G436">
        <f>IFERROR(SUMIFS('Losses &amp; Damages'!$E:$E,'Losses &amp; Damages'!$C:$C,$A436,'Losses &amp; Damages'!$D:$D,$C436),0)</f>
        <v>0</v>
      </c>
      <c r="H436">
        <f t="shared" si="6"/>
        <v>0</v>
      </c>
    </row>
    <row r="437" spans="1:8" x14ac:dyDescent="0.25">
      <c r="A437" s="1"/>
      <c r="B437" s="1"/>
      <c r="C437" s="1"/>
      <c r="D437" s="1"/>
      <c r="E437">
        <f>IFERROR(SUMIFS('Stock Received'!$F:$F,'Stock Received'!$D:$D,$A437,'Stock Received'!$E:$E,$C437),0)</f>
        <v>0</v>
      </c>
      <c r="F437">
        <f>IFERROR(SUMIFS('Arrangement Tracker'!$F:$F,'Arrangement Tracker'!$D:$D,$A437,'Arrangement Tracker'!$E:$E,$C437),0)</f>
        <v>0</v>
      </c>
      <c r="G437">
        <f>IFERROR(SUMIFS('Losses &amp; Damages'!$E:$E,'Losses &amp; Damages'!$C:$C,$A437,'Losses &amp; Damages'!$D:$D,$C437),0)</f>
        <v>0</v>
      </c>
      <c r="H437">
        <f t="shared" si="6"/>
        <v>0</v>
      </c>
    </row>
    <row r="438" spans="1:8" x14ac:dyDescent="0.25">
      <c r="A438" s="1"/>
      <c r="B438" s="1"/>
      <c r="C438" s="1"/>
      <c r="D438" s="1"/>
      <c r="E438">
        <f>IFERROR(SUMIFS('Stock Received'!$F:$F,'Stock Received'!$D:$D,$A438,'Stock Received'!$E:$E,$C438),0)</f>
        <v>0</v>
      </c>
      <c r="F438">
        <f>IFERROR(SUMIFS('Arrangement Tracker'!$F:$F,'Arrangement Tracker'!$D:$D,$A438,'Arrangement Tracker'!$E:$E,$C438),0)</f>
        <v>0</v>
      </c>
      <c r="G438">
        <f>IFERROR(SUMIFS('Losses &amp; Damages'!$E:$E,'Losses &amp; Damages'!$C:$C,$A438,'Losses &amp; Damages'!$D:$D,$C438),0)</f>
        <v>0</v>
      </c>
      <c r="H438">
        <f t="shared" si="6"/>
        <v>0</v>
      </c>
    </row>
    <row r="439" spans="1:8" x14ac:dyDescent="0.25">
      <c r="A439" s="1"/>
      <c r="B439" s="1"/>
      <c r="C439" s="1"/>
      <c r="D439" s="1"/>
      <c r="E439">
        <f>IFERROR(SUMIFS('Stock Received'!$F:$F,'Stock Received'!$D:$D,$A439,'Stock Received'!$E:$E,$C439),0)</f>
        <v>0</v>
      </c>
      <c r="F439">
        <f>IFERROR(SUMIFS('Arrangement Tracker'!$F:$F,'Arrangement Tracker'!$D:$D,$A439,'Arrangement Tracker'!$E:$E,$C439),0)</f>
        <v>0</v>
      </c>
      <c r="G439">
        <f>IFERROR(SUMIFS('Losses &amp; Damages'!$E:$E,'Losses &amp; Damages'!$C:$C,$A439,'Losses &amp; Damages'!$D:$D,$C439),0)</f>
        <v>0</v>
      </c>
      <c r="H439">
        <f t="shared" si="6"/>
        <v>0</v>
      </c>
    </row>
    <row r="440" spans="1:8" x14ac:dyDescent="0.25">
      <c r="A440" s="1"/>
      <c r="B440" s="1"/>
      <c r="C440" s="1"/>
      <c r="D440" s="1"/>
      <c r="E440">
        <f>IFERROR(SUMIFS('Stock Received'!$F:$F,'Stock Received'!$D:$D,$A440,'Stock Received'!$E:$E,$C440),0)</f>
        <v>0</v>
      </c>
      <c r="F440">
        <f>IFERROR(SUMIFS('Arrangement Tracker'!$F:$F,'Arrangement Tracker'!$D:$D,$A440,'Arrangement Tracker'!$E:$E,$C440),0)</f>
        <v>0</v>
      </c>
      <c r="G440">
        <f>IFERROR(SUMIFS('Losses &amp; Damages'!$E:$E,'Losses &amp; Damages'!$C:$C,$A440,'Losses &amp; Damages'!$D:$D,$C440),0)</f>
        <v>0</v>
      </c>
      <c r="H440">
        <f t="shared" si="6"/>
        <v>0</v>
      </c>
    </row>
    <row r="441" spans="1:8" x14ac:dyDescent="0.25">
      <c r="A441" s="1"/>
      <c r="B441" s="1"/>
      <c r="C441" s="1"/>
      <c r="D441" s="1"/>
      <c r="E441">
        <f>IFERROR(SUMIFS('Stock Received'!$F:$F,'Stock Received'!$D:$D,$A441,'Stock Received'!$E:$E,$C441),0)</f>
        <v>0</v>
      </c>
      <c r="F441">
        <f>IFERROR(SUMIFS('Arrangement Tracker'!$F:$F,'Arrangement Tracker'!$D:$D,$A441,'Arrangement Tracker'!$E:$E,$C441),0)</f>
        <v>0</v>
      </c>
      <c r="G441">
        <f>IFERROR(SUMIFS('Losses &amp; Damages'!$E:$E,'Losses &amp; Damages'!$C:$C,$A441,'Losses &amp; Damages'!$D:$D,$C441),0)</f>
        <v>0</v>
      </c>
      <c r="H441">
        <f t="shared" si="6"/>
        <v>0</v>
      </c>
    </row>
    <row r="442" spans="1:8" x14ac:dyDescent="0.25">
      <c r="A442" s="1"/>
      <c r="B442" s="1"/>
      <c r="C442" s="1"/>
      <c r="D442" s="1"/>
      <c r="E442">
        <f>IFERROR(SUMIFS('Stock Received'!$F:$F,'Stock Received'!$D:$D,$A442,'Stock Received'!$E:$E,$C442),0)</f>
        <v>0</v>
      </c>
      <c r="F442">
        <f>IFERROR(SUMIFS('Arrangement Tracker'!$F:$F,'Arrangement Tracker'!$D:$D,$A442,'Arrangement Tracker'!$E:$E,$C442),0)</f>
        <v>0</v>
      </c>
      <c r="G442">
        <f>IFERROR(SUMIFS('Losses &amp; Damages'!$E:$E,'Losses &amp; Damages'!$C:$C,$A442,'Losses &amp; Damages'!$D:$D,$C442),0)</f>
        <v>0</v>
      </c>
      <c r="H442">
        <f t="shared" si="6"/>
        <v>0</v>
      </c>
    </row>
    <row r="443" spans="1:8" x14ac:dyDescent="0.25">
      <c r="A443" s="1"/>
      <c r="B443" s="1"/>
      <c r="C443" s="1"/>
      <c r="D443" s="1"/>
      <c r="E443">
        <f>IFERROR(SUMIFS('Stock Received'!$F:$F,'Stock Received'!$D:$D,$A443,'Stock Received'!$E:$E,$C443),0)</f>
        <v>0</v>
      </c>
      <c r="F443">
        <f>IFERROR(SUMIFS('Arrangement Tracker'!$F:$F,'Arrangement Tracker'!$D:$D,$A443,'Arrangement Tracker'!$E:$E,$C443),0)</f>
        <v>0</v>
      </c>
      <c r="G443">
        <f>IFERROR(SUMIFS('Losses &amp; Damages'!$E:$E,'Losses &amp; Damages'!$C:$C,$A443,'Losses &amp; Damages'!$D:$D,$C443),0)</f>
        <v>0</v>
      </c>
      <c r="H443">
        <f t="shared" si="6"/>
        <v>0</v>
      </c>
    </row>
    <row r="444" spans="1:8" x14ac:dyDescent="0.25">
      <c r="A444" s="1"/>
      <c r="B444" s="1"/>
      <c r="C444" s="1"/>
      <c r="D444" s="1"/>
      <c r="E444">
        <f>IFERROR(SUMIFS('Stock Received'!$F:$F,'Stock Received'!$D:$D,$A444,'Stock Received'!$E:$E,$C444),0)</f>
        <v>0</v>
      </c>
      <c r="F444">
        <f>IFERROR(SUMIFS('Arrangement Tracker'!$F:$F,'Arrangement Tracker'!$D:$D,$A444,'Arrangement Tracker'!$E:$E,$C444),0)</f>
        <v>0</v>
      </c>
      <c r="G444">
        <f>IFERROR(SUMIFS('Losses &amp; Damages'!$E:$E,'Losses &amp; Damages'!$C:$C,$A444,'Losses &amp; Damages'!$D:$D,$C444),0)</f>
        <v>0</v>
      </c>
      <c r="H444">
        <f t="shared" si="6"/>
        <v>0</v>
      </c>
    </row>
    <row r="445" spans="1:8" x14ac:dyDescent="0.25">
      <c r="A445" s="1"/>
      <c r="B445" s="1"/>
      <c r="C445" s="1"/>
      <c r="D445" s="1"/>
      <c r="E445">
        <f>IFERROR(SUMIFS('Stock Received'!$F:$F,'Stock Received'!$D:$D,$A445,'Stock Received'!$E:$E,$C445),0)</f>
        <v>0</v>
      </c>
      <c r="F445">
        <f>IFERROR(SUMIFS('Arrangement Tracker'!$F:$F,'Arrangement Tracker'!$D:$D,$A445,'Arrangement Tracker'!$E:$E,$C445),0)</f>
        <v>0</v>
      </c>
      <c r="G445">
        <f>IFERROR(SUMIFS('Losses &amp; Damages'!$E:$E,'Losses &amp; Damages'!$C:$C,$A445,'Losses &amp; Damages'!$D:$D,$C445),0)</f>
        <v>0</v>
      </c>
      <c r="H445">
        <f t="shared" si="6"/>
        <v>0</v>
      </c>
    </row>
    <row r="446" spans="1:8" x14ac:dyDescent="0.25">
      <c r="A446" s="1"/>
      <c r="B446" s="1"/>
      <c r="C446" s="1"/>
      <c r="D446" s="1"/>
      <c r="E446">
        <f>IFERROR(SUMIFS('Stock Received'!$F:$F,'Stock Received'!$D:$D,$A446,'Stock Received'!$E:$E,$C446),0)</f>
        <v>0</v>
      </c>
      <c r="F446">
        <f>IFERROR(SUMIFS('Arrangement Tracker'!$F:$F,'Arrangement Tracker'!$D:$D,$A446,'Arrangement Tracker'!$E:$E,$C446),0)</f>
        <v>0</v>
      </c>
      <c r="G446">
        <f>IFERROR(SUMIFS('Losses &amp; Damages'!$E:$E,'Losses &amp; Damages'!$C:$C,$A446,'Losses &amp; Damages'!$D:$D,$C446),0)</f>
        <v>0</v>
      </c>
      <c r="H446">
        <f t="shared" si="6"/>
        <v>0</v>
      </c>
    </row>
    <row r="447" spans="1:8" x14ac:dyDescent="0.25">
      <c r="A447" s="1"/>
      <c r="B447" s="1"/>
      <c r="C447" s="1"/>
      <c r="D447" s="1"/>
      <c r="E447">
        <f>IFERROR(SUMIFS('Stock Received'!$F:$F,'Stock Received'!$D:$D,$A447,'Stock Received'!$E:$E,$C447),0)</f>
        <v>0</v>
      </c>
      <c r="F447">
        <f>IFERROR(SUMIFS('Arrangement Tracker'!$F:$F,'Arrangement Tracker'!$D:$D,$A447,'Arrangement Tracker'!$E:$E,$C447),0)</f>
        <v>0</v>
      </c>
      <c r="G447">
        <f>IFERROR(SUMIFS('Losses &amp; Damages'!$E:$E,'Losses &amp; Damages'!$C:$C,$A447,'Losses &amp; Damages'!$D:$D,$C447),0)</f>
        <v>0</v>
      </c>
      <c r="H447">
        <f t="shared" si="6"/>
        <v>0</v>
      </c>
    </row>
    <row r="448" spans="1:8" x14ac:dyDescent="0.25">
      <c r="A448" s="1"/>
      <c r="B448" s="1"/>
      <c r="C448" s="1"/>
      <c r="D448" s="1"/>
      <c r="E448">
        <f>IFERROR(SUMIFS('Stock Received'!$F:$F,'Stock Received'!$D:$D,$A448,'Stock Received'!$E:$E,$C448),0)</f>
        <v>0</v>
      </c>
      <c r="F448">
        <f>IFERROR(SUMIFS('Arrangement Tracker'!$F:$F,'Arrangement Tracker'!$D:$D,$A448,'Arrangement Tracker'!$E:$E,$C448),0)</f>
        <v>0</v>
      </c>
      <c r="G448">
        <f>IFERROR(SUMIFS('Losses &amp; Damages'!$E:$E,'Losses &amp; Damages'!$C:$C,$A448,'Losses &amp; Damages'!$D:$D,$C448),0)</f>
        <v>0</v>
      </c>
      <c r="H448">
        <f t="shared" si="6"/>
        <v>0</v>
      </c>
    </row>
    <row r="449" spans="1:8" x14ac:dyDescent="0.25">
      <c r="A449" s="1"/>
      <c r="B449" s="1"/>
      <c r="C449" s="1"/>
      <c r="D449" s="1"/>
      <c r="E449">
        <f>IFERROR(SUMIFS('Stock Received'!$F:$F,'Stock Received'!$D:$D,$A449,'Stock Received'!$E:$E,$C449),0)</f>
        <v>0</v>
      </c>
      <c r="F449">
        <f>IFERROR(SUMIFS('Arrangement Tracker'!$F:$F,'Arrangement Tracker'!$D:$D,$A449,'Arrangement Tracker'!$E:$E,$C449),0)</f>
        <v>0</v>
      </c>
      <c r="G449">
        <f>IFERROR(SUMIFS('Losses &amp; Damages'!$E:$E,'Losses &amp; Damages'!$C:$C,$A449,'Losses &amp; Damages'!$D:$D,$C449),0)</f>
        <v>0</v>
      </c>
      <c r="H449">
        <f t="shared" si="6"/>
        <v>0</v>
      </c>
    </row>
    <row r="450" spans="1:8" x14ac:dyDescent="0.25">
      <c r="A450" s="1"/>
      <c r="B450" s="1"/>
      <c r="C450" s="1"/>
      <c r="D450" s="1"/>
      <c r="E450">
        <f>IFERROR(SUMIFS('Stock Received'!$F:$F,'Stock Received'!$D:$D,$A450,'Stock Received'!$E:$E,$C450),0)</f>
        <v>0</v>
      </c>
      <c r="F450">
        <f>IFERROR(SUMIFS('Arrangement Tracker'!$F:$F,'Arrangement Tracker'!$D:$D,$A450,'Arrangement Tracker'!$E:$E,$C450),0)</f>
        <v>0</v>
      </c>
      <c r="G450">
        <f>IFERROR(SUMIFS('Losses &amp; Damages'!$E:$E,'Losses &amp; Damages'!$C:$C,$A450,'Losses &amp; Damages'!$D:$D,$C450),0)</f>
        <v>0</v>
      </c>
      <c r="H450">
        <f t="shared" ref="H450:H513" si="7">IFERROR(D450+E450-F450-G450,0)</f>
        <v>0</v>
      </c>
    </row>
    <row r="451" spans="1:8" x14ac:dyDescent="0.25">
      <c r="A451" s="1"/>
      <c r="B451" s="1"/>
      <c r="C451" s="1"/>
      <c r="D451" s="1"/>
      <c r="E451">
        <f>IFERROR(SUMIFS('Stock Received'!$F:$F,'Stock Received'!$D:$D,$A451,'Stock Received'!$E:$E,$C451),0)</f>
        <v>0</v>
      </c>
      <c r="F451">
        <f>IFERROR(SUMIFS('Arrangement Tracker'!$F:$F,'Arrangement Tracker'!$D:$D,$A451,'Arrangement Tracker'!$E:$E,$C451),0)</f>
        <v>0</v>
      </c>
      <c r="G451">
        <f>IFERROR(SUMIFS('Losses &amp; Damages'!$E:$E,'Losses &amp; Damages'!$C:$C,$A451,'Losses &amp; Damages'!$D:$D,$C451),0)</f>
        <v>0</v>
      </c>
      <c r="H451">
        <f t="shared" si="7"/>
        <v>0</v>
      </c>
    </row>
    <row r="452" spans="1:8" x14ac:dyDescent="0.25">
      <c r="A452" s="1"/>
      <c r="B452" s="1"/>
      <c r="C452" s="1"/>
      <c r="D452" s="1"/>
      <c r="E452">
        <f>IFERROR(SUMIFS('Stock Received'!$F:$F,'Stock Received'!$D:$D,$A452,'Stock Received'!$E:$E,$C452),0)</f>
        <v>0</v>
      </c>
      <c r="F452">
        <f>IFERROR(SUMIFS('Arrangement Tracker'!$F:$F,'Arrangement Tracker'!$D:$D,$A452,'Arrangement Tracker'!$E:$E,$C452),0)</f>
        <v>0</v>
      </c>
      <c r="G452">
        <f>IFERROR(SUMIFS('Losses &amp; Damages'!$E:$E,'Losses &amp; Damages'!$C:$C,$A452,'Losses &amp; Damages'!$D:$D,$C452),0)</f>
        <v>0</v>
      </c>
      <c r="H452">
        <f t="shared" si="7"/>
        <v>0</v>
      </c>
    </row>
    <row r="453" spans="1:8" x14ac:dyDescent="0.25">
      <c r="A453" s="1"/>
      <c r="B453" s="1"/>
      <c r="C453" s="1"/>
      <c r="D453" s="1"/>
      <c r="E453">
        <f>IFERROR(SUMIFS('Stock Received'!$F:$F,'Stock Received'!$D:$D,$A453,'Stock Received'!$E:$E,$C453),0)</f>
        <v>0</v>
      </c>
      <c r="F453">
        <f>IFERROR(SUMIFS('Arrangement Tracker'!$F:$F,'Arrangement Tracker'!$D:$D,$A453,'Arrangement Tracker'!$E:$E,$C453),0)</f>
        <v>0</v>
      </c>
      <c r="G453">
        <f>IFERROR(SUMIFS('Losses &amp; Damages'!$E:$E,'Losses &amp; Damages'!$C:$C,$A453,'Losses &amp; Damages'!$D:$D,$C453),0)</f>
        <v>0</v>
      </c>
      <c r="H453">
        <f t="shared" si="7"/>
        <v>0</v>
      </c>
    </row>
    <row r="454" spans="1:8" x14ac:dyDescent="0.25">
      <c r="A454" s="1"/>
      <c r="B454" s="1"/>
      <c r="C454" s="1"/>
      <c r="D454" s="1"/>
      <c r="E454">
        <f>IFERROR(SUMIFS('Stock Received'!$F:$F,'Stock Received'!$D:$D,$A454,'Stock Received'!$E:$E,$C454),0)</f>
        <v>0</v>
      </c>
      <c r="F454">
        <f>IFERROR(SUMIFS('Arrangement Tracker'!$F:$F,'Arrangement Tracker'!$D:$D,$A454,'Arrangement Tracker'!$E:$E,$C454),0)</f>
        <v>0</v>
      </c>
      <c r="G454">
        <f>IFERROR(SUMIFS('Losses &amp; Damages'!$E:$E,'Losses &amp; Damages'!$C:$C,$A454,'Losses &amp; Damages'!$D:$D,$C454),0)</f>
        <v>0</v>
      </c>
      <c r="H454">
        <f t="shared" si="7"/>
        <v>0</v>
      </c>
    </row>
    <row r="455" spans="1:8" x14ac:dyDescent="0.25">
      <c r="A455" s="1"/>
      <c r="B455" s="1"/>
      <c r="C455" s="1"/>
      <c r="D455" s="1"/>
      <c r="E455">
        <f>IFERROR(SUMIFS('Stock Received'!$F:$F,'Stock Received'!$D:$D,$A455,'Stock Received'!$E:$E,$C455),0)</f>
        <v>0</v>
      </c>
      <c r="F455">
        <f>IFERROR(SUMIFS('Arrangement Tracker'!$F:$F,'Arrangement Tracker'!$D:$D,$A455,'Arrangement Tracker'!$E:$E,$C455),0)</f>
        <v>0</v>
      </c>
      <c r="G455">
        <f>IFERROR(SUMIFS('Losses &amp; Damages'!$E:$E,'Losses &amp; Damages'!$C:$C,$A455,'Losses &amp; Damages'!$D:$D,$C455),0)</f>
        <v>0</v>
      </c>
      <c r="H455">
        <f t="shared" si="7"/>
        <v>0</v>
      </c>
    </row>
    <row r="456" spans="1:8" x14ac:dyDescent="0.25">
      <c r="A456" s="1"/>
      <c r="B456" s="1"/>
      <c r="C456" s="1"/>
      <c r="D456" s="1"/>
      <c r="E456">
        <f>IFERROR(SUMIFS('Stock Received'!$F:$F,'Stock Received'!$D:$D,$A456,'Stock Received'!$E:$E,$C456),0)</f>
        <v>0</v>
      </c>
      <c r="F456">
        <f>IFERROR(SUMIFS('Arrangement Tracker'!$F:$F,'Arrangement Tracker'!$D:$D,$A456,'Arrangement Tracker'!$E:$E,$C456),0)</f>
        <v>0</v>
      </c>
      <c r="G456">
        <f>IFERROR(SUMIFS('Losses &amp; Damages'!$E:$E,'Losses &amp; Damages'!$C:$C,$A456,'Losses &amp; Damages'!$D:$D,$C456),0)</f>
        <v>0</v>
      </c>
      <c r="H456">
        <f t="shared" si="7"/>
        <v>0</v>
      </c>
    </row>
    <row r="457" spans="1:8" x14ac:dyDescent="0.25">
      <c r="A457" s="1"/>
      <c r="B457" s="1"/>
      <c r="C457" s="1"/>
      <c r="D457" s="1"/>
      <c r="E457">
        <f>IFERROR(SUMIFS('Stock Received'!$F:$F,'Stock Received'!$D:$D,$A457,'Stock Received'!$E:$E,$C457),0)</f>
        <v>0</v>
      </c>
      <c r="F457">
        <f>IFERROR(SUMIFS('Arrangement Tracker'!$F:$F,'Arrangement Tracker'!$D:$D,$A457,'Arrangement Tracker'!$E:$E,$C457),0)</f>
        <v>0</v>
      </c>
      <c r="G457">
        <f>IFERROR(SUMIFS('Losses &amp; Damages'!$E:$E,'Losses &amp; Damages'!$C:$C,$A457,'Losses &amp; Damages'!$D:$D,$C457),0)</f>
        <v>0</v>
      </c>
      <c r="H457">
        <f t="shared" si="7"/>
        <v>0</v>
      </c>
    </row>
    <row r="458" spans="1:8" x14ac:dyDescent="0.25">
      <c r="A458" s="1"/>
      <c r="B458" s="1"/>
      <c r="C458" s="1"/>
      <c r="D458" s="1"/>
      <c r="E458">
        <f>IFERROR(SUMIFS('Stock Received'!$F:$F,'Stock Received'!$D:$D,$A458,'Stock Received'!$E:$E,$C458),0)</f>
        <v>0</v>
      </c>
      <c r="F458">
        <f>IFERROR(SUMIFS('Arrangement Tracker'!$F:$F,'Arrangement Tracker'!$D:$D,$A458,'Arrangement Tracker'!$E:$E,$C458),0)</f>
        <v>0</v>
      </c>
      <c r="G458">
        <f>IFERROR(SUMIFS('Losses &amp; Damages'!$E:$E,'Losses &amp; Damages'!$C:$C,$A458,'Losses &amp; Damages'!$D:$D,$C458),0)</f>
        <v>0</v>
      </c>
      <c r="H458">
        <f t="shared" si="7"/>
        <v>0</v>
      </c>
    </row>
    <row r="459" spans="1:8" x14ac:dyDescent="0.25">
      <c r="A459" s="1"/>
      <c r="B459" s="1"/>
      <c r="C459" s="1"/>
      <c r="D459" s="1"/>
      <c r="E459">
        <f>IFERROR(SUMIFS('Stock Received'!$F:$F,'Stock Received'!$D:$D,$A459,'Stock Received'!$E:$E,$C459),0)</f>
        <v>0</v>
      </c>
      <c r="F459">
        <f>IFERROR(SUMIFS('Arrangement Tracker'!$F:$F,'Arrangement Tracker'!$D:$D,$A459,'Arrangement Tracker'!$E:$E,$C459),0)</f>
        <v>0</v>
      </c>
      <c r="G459">
        <f>IFERROR(SUMIFS('Losses &amp; Damages'!$E:$E,'Losses &amp; Damages'!$C:$C,$A459,'Losses &amp; Damages'!$D:$D,$C459),0)</f>
        <v>0</v>
      </c>
      <c r="H459">
        <f t="shared" si="7"/>
        <v>0</v>
      </c>
    </row>
    <row r="460" spans="1:8" x14ac:dyDescent="0.25">
      <c r="A460" s="1"/>
      <c r="B460" s="1"/>
      <c r="C460" s="1"/>
      <c r="D460" s="1"/>
      <c r="E460">
        <f>IFERROR(SUMIFS('Stock Received'!$F:$F,'Stock Received'!$D:$D,$A460,'Stock Received'!$E:$E,$C460),0)</f>
        <v>0</v>
      </c>
      <c r="F460">
        <f>IFERROR(SUMIFS('Arrangement Tracker'!$F:$F,'Arrangement Tracker'!$D:$D,$A460,'Arrangement Tracker'!$E:$E,$C460),0)</f>
        <v>0</v>
      </c>
      <c r="G460">
        <f>IFERROR(SUMIFS('Losses &amp; Damages'!$E:$E,'Losses &amp; Damages'!$C:$C,$A460,'Losses &amp; Damages'!$D:$D,$C460),0)</f>
        <v>0</v>
      </c>
      <c r="H460">
        <f t="shared" si="7"/>
        <v>0</v>
      </c>
    </row>
    <row r="461" spans="1:8" x14ac:dyDescent="0.25">
      <c r="A461" s="1"/>
      <c r="B461" s="1"/>
      <c r="C461" s="1"/>
      <c r="D461" s="1"/>
      <c r="E461">
        <f>IFERROR(SUMIFS('Stock Received'!$F:$F,'Stock Received'!$D:$D,$A461,'Stock Received'!$E:$E,$C461),0)</f>
        <v>0</v>
      </c>
      <c r="F461">
        <f>IFERROR(SUMIFS('Arrangement Tracker'!$F:$F,'Arrangement Tracker'!$D:$D,$A461,'Arrangement Tracker'!$E:$E,$C461),0)</f>
        <v>0</v>
      </c>
      <c r="G461">
        <f>IFERROR(SUMIFS('Losses &amp; Damages'!$E:$E,'Losses &amp; Damages'!$C:$C,$A461,'Losses &amp; Damages'!$D:$D,$C461),0)</f>
        <v>0</v>
      </c>
      <c r="H461">
        <f t="shared" si="7"/>
        <v>0</v>
      </c>
    </row>
    <row r="462" spans="1:8" x14ac:dyDescent="0.25">
      <c r="A462" s="1"/>
      <c r="B462" s="1"/>
      <c r="C462" s="1"/>
      <c r="D462" s="1"/>
      <c r="E462">
        <f>IFERROR(SUMIFS('Stock Received'!$F:$F,'Stock Received'!$D:$D,$A462,'Stock Received'!$E:$E,$C462),0)</f>
        <v>0</v>
      </c>
      <c r="F462">
        <f>IFERROR(SUMIFS('Arrangement Tracker'!$F:$F,'Arrangement Tracker'!$D:$D,$A462,'Arrangement Tracker'!$E:$E,$C462),0)</f>
        <v>0</v>
      </c>
      <c r="G462">
        <f>IFERROR(SUMIFS('Losses &amp; Damages'!$E:$E,'Losses &amp; Damages'!$C:$C,$A462,'Losses &amp; Damages'!$D:$D,$C462),0)</f>
        <v>0</v>
      </c>
      <c r="H462">
        <f t="shared" si="7"/>
        <v>0</v>
      </c>
    </row>
    <row r="463" spans="1:8" x14ac:dyDescent="0.25">
      <c r="A463" s="1"/>
      <c r="B463" s="1"/>
      <c r="C463" s="1"/>
      <c r="D463" s="1"/>
      <c r="E463">
        <f>IFERROR(SUMIFS('Stock Received'!$F:$F,'Stock Received'!$D:$D,$A463,'Stock Received'!$E:$E,$C463),0)</f>
        <v>0</v>
      </c>
      <c r="F463">
        <f>IFERROR(SUMIFS('Arrangement Tracker'!$F:$F,'Arrangement Tracker'!$D:$D,$A463,'Arrangement Tracker'!$E:$E,$C463),0)</f>
        <v>0</v>
      </c>
      <c r="G463">
        <f>IFERROR(SUMIFS('Losses &amp; Damages'!$E:$E,'Losses &amp; Damages'!$C:$C,$A463,'Losses &amp; Damages'!$D:$D,$C463),0)</f>
        <v>0</v>
      </c>
      <c r="H463">
        <f t="shared" si="7"/>
        <v>0</v>
      </c>
    </row>
    <row r="464" spans="1:8" x14ac:dyDescent="0.25">
      <c r="A464" s="1"/>
      <c r="B464" s="1"/>
      <c r="C464" s="1"/>
      <c r="D464" s="1"/>
      <c r="E464">
        <f>IFERROR(SUMIFS('Stock Received'!$F:$F,'Stock Received'!$D:$D,$A464,'Stock Received'!$E:$E,$C464),0)</f>
        <v>0</v>
      </c>
      <c r="F464">
        <f>IFERROR(SUMIFS('Arrangement Tracker'!$F:$F,'Arrangement Tracker'!$D:$D,$A464,'Arrangement Tracker'!$E:$E,$C464),0)</f>
        <v>0</v>
      </c>
      <c r="G464">
        <f>IFERROR(SUMIFS('Losses &amp; Damages'!$E:$E,'Losses &amp; Damages'!$C:$C,$A464,'Losses &amp; Damages'!$D:$D,$C464),0)</f>
        <v>0</v>
      </c>
      <c r="H464">
        <f t="shared" si="7"/>
        <v>0</v>
      </c>
    </row>
    <row r="465" spans="1:8" x14ac:dyDescent="0.25">
      <c r="A465" s="1"/>
      <c r="B465" s="1"/>
      <c r="C465" s="1"/>
      <c r="D465" s="1"/>
      <c r="E465">
        <f>IFERROR(SUMIFS('Stock Received'!$F:$F,'Stock Received'!$D:$D,$A465,'Stock Received'!$E:$E,$C465),0)</f>
        <v>0</v>
      </c>
      <c r="F465">
        <f>IFERROR(SUMIFS('Arrangement Tracker'!$F:$F,'Arrangement Tracker'!$D:$D,$A465,'Arrangement Tracker'!$E:$E,$C465),0)</f>
        <v>0</v>
      </c>
      <c r="G465">
        <f>IFERROR(SUMIFS('Losses &amp; Damages'!$E:$E,'Losses &amp; Damages'!$C:$C,$A465,'Losses &amp; Damages'!$D:$D,$C465),0)</f>
        <v>0</v>
      </c>
      <c r="H465">
        <f t="shared" si="7"/>
        <v>0</v>
      </c>
    </row>
    <row r="466" spans="1:8" x14ac:dyDescent="0.25">
      <c r="A466" s="1"/>
      <c r="B466" s="1"/>
      <c r="C466" s="1"/>
      <c r="D466" s="1"/>
      <c r="E466">
        <f>IFERROR(SUMIFS('Stock Received'!$F:$F,'Stock Received'!$D:$D,$A466,'Stock Received'!$E:$E,$C466),0)</f>
        <v>0</v>
      </c>
      <c r="F466">
        <f>IFERROR(SUMIFS('Arrangement Tracker'!$F:$F,'Arrangement Tracker'!$D:$D,$A466,'Arrangement Tracker'!$E:$E,$C466),0)</f>
        <v>0</v>
      </c>
      <c r="G466">
        <f>IFERROR(SUMIFS('Losses &amp; Damages'!$E:$E,'Losses &amp; Damages'!$C:$C,$A466,'Losses &amp; Damages'!$D:$D,$C466),0)</f>
        <v>0</v>
      </c>
      <c r="H466">
        <f t="shared" si="7"/>
        <v>0</v>
      </c>
    </row>
    <row r="467" spans="1:8" x14ac:dyDescent="0.25">
      <c r="A467" s="1"/>
      <c r="B467" s="1"/>
      <c r="C467" s="1"/>
      <c r="D467" s="1"/>
      <c r="E467">
        <f>IFERROR(SUMIFS('Stock Received'!$F:$F,'Stock Received'!$D:$D,$A467,'Stock Received'!$E:$E,$C467),0)</f>
        <v>0</v>
      </c>
      <c r="F467">
        <f>IFERROR(SUMIFS('Arrangement Tracker'!$F:$F,'Arrangement Tracker'!$D:$D,$A467,'Arrangement Tracker'!$E:$E,$C467),0)</f>
        <v>0</v>
      </c>
      <c r="G467">
        <f>IFERROR(SUMIFS('Losses &amp; Damages'!$E:$E,'Losses &amp; Damages'!$C:$C,$A467,'Losses &amp; Damages'!$D:$D,$C467),0)</f>
        <v>0</v>
      </c>
      <c r="H467">
        <f t="shared" si="7"/>
        <v>0</v>
      </c>
    </row>
    <row r="468" spans="1:8" x14ac:dyDescent="0.25">
      <c r="A468" s="1"/>
      <c r="B468" s="1"/>
      <c r="C468" s="1"/>
      <c r="D468" s="1"/>
      <c r="E468">
        <f>IFERROR(SUMIFS('Stock Received'!$F:$F,'Stock Received'!$D:$D,$A468,'Stock Received'!$E:$E,$C468),0)</f>
        <v>0</v>
      </c>
      <c r="F468">
        <f>IFERROR(SUMIFS('Arrangement Tracker'!$F:$F,'Arrangement Tracker'!$D:$D,$A468,'Arrangement Tracker'!$E:$E,$C468),0)</f>
        <v>0</v>
      </c>
      <c r="G468">
        <f>IFERROR(SUMIFS('Losses &amp; Damages'!$E:$E,'Losses &amp; Damages'!$C:$C,$A468,'Losses &amp; Damages'!$D:$D,$C468),0)</f>
        <v>0</v>
      </c>
      <c r="H468">
        <f t="shared" si="7"/>
        <v>0</v>
      </c>
    </row>
    <row r="469" spans="1:8" x14ac:dyDescent="0.25">
      <c r="A469" s="1"/>
      <c r="B469" s="1"/>
      <c r="C469" s="1"/>
      <c r="D469" s="1"/>
      <c r="E469">
        <f>IFERROR(SUMIFS('Stock Received'!$F:$F,'Stock Received'!$D:$D,$A469,'Stock Received'!$E:$E,$C469),0)</f>
        <v>0</v>
      </c>
      <c r="F469">
        <f>IFERROR(SUMIFS('Arrangement Tracker'!$F:$F,'Arrangement Tracker'!$D:$D,$A469,'Arrangement Tracker'!$E:$E,$C469),0)</f>
        <v>0</v>
      </c>
      <c r="G469">
        <f>IFERROR(SUMIFS('Losses &amp; Damages'!$E:$E,'Losses &amp; Damages'!$C:$C,$A469,'Losses &amp; Damages'!$D:$D,$C469),0)</f>
        <v>0</v>
      </c>
      <c r="H469">
        <f t="shared" si="7"/>
        <v>0</v>
      </c>
    </row>
    <row r="470" spans="1:8" x14ac:dyDescent="0.25">
      <c r="A470" s="1"/>
      <c r="B470" s="1"/>
      <c r="C470" s="1"/>
      <c r="D470" s="1"/>
      <c r="E470">
        <f>IFERROR(SUMIFS('Stock Received'!$F:$F,'Stock Received'!$D:$D,$A470,'Stock Received'!$E:$E,$C470),0)</f>
        <v>0</v>
      </c>
      <c r="F470">
        <f>IFERROR(SUMIFS('Arrangement Tracker'!$F:$F,'Arrangement Tracker'!$D:$D,$A470,'Arrangement Tracker'!$E:$E,$C470),0)</f>
        <v>0</v>
      </c>
      <c r="G470">
        <f>IFERROR(SUMIFS('Losses &amp; Damages'!$E:$E,'Losses &amp; Damages'!$C:$C,$A470,'Losses &amp; Damages'!$D:$D,$C470),0)</f>
        <v>0</v>
      </c>
      <c r="H470">
        <f t="shared" si="7"/>
        <v>0</v>
      </c>
    </row>
    <row r="471" spans="1:8" x14ac:dyDescent="0.25">
      <c r="A471" s="1"/>
      <c r="B471" s="1"/>
      <c r="C471" s="1"/>
      <c r="D471" s="1"/>
      <c r="E471">
        <f>IFERROR(SUMIFS('Stock Received'!$F:$F,'Stock Received'!$D:$D,$A471,'Stock Received'!$E:$E,$C471),0)</f>
        <v>0</v>
      </c>
      <c r="F471">
        <f>IFERROR(SUMIFS('Arrangement Tracker'!$F:$F,'Arrangement Tracker'!$D:$D,$A471,'Arrangement Tracker'!$E:$E,$C471),0)</f>
        <v>0</v>
      </c>
      <c r="G471">
        <f>IFERROR(SUMIFS('Losses &amp; Damages'!$E:$E,'Losses &amp; Damages'!$C:$C,$A471,'Losses &amp; Damages'!$D:$D,$C471),0)</f>
        <v>0</v>
      </c>
      <c r="H471">
        <f t="shared" si="7"/>
        <v>0</v>
      </c>
    </row>
    <row r="472" spans="1:8" x14ac:dyDescent="0.25">
      <c r="A472" s="1"/>
      <c r="B472" s="1"/>
      <c r="C472" s="1"/>
      <c r="D472" s="1"/>
      <c r="E472">
        <f>IFERROR(SUMIFS('Stock Received'!$F:$F,'Stock Received'!$D:$D,$A472,'Stock Received'!$E:$E,$C472),0)</f>
        <v>0</v>
      </c>
      <c r="F472">
        <f>IFERROR(SUMIFS('Arrangement Tracker'!$F:$F,'Arrangement Tracker'!$D:$D,$A472,'Arrangement Tracker'!$E:$E,$C472),0)</f>
        <v>0</v>
      </c>
      <c r="G472">
        <f>IFERROR(SUMIFS('Losses &amp; Damages'!$E:$E,'Losses &amp; Damages'!$C:$C,$A472,'Losses &amp; Damages'!$D:$D,$C472),0)</f>
        <v>0</v>
      </c>
      <c r="H472">
        <f t="shared" si="7"/>
        <v>0</v>
      </c>
    </row>
    <row r="473" spans="1:8" x14ac:dyDescent="0.25">
      <c r="A473" s="1"/>
      <c r="B473" s="1"/>
      <c r="C473" s="1"/>
      <c r="D473" s="1"/>
      <c r="E473">
        <f>IFERROR(SUMIFS('Stock Received'!$F:$F,'Stock Received'!$D:$D,$A473,'Stock Received'!$E:$E,$C473),0)</f>
        <v>0</v>
      </c>
      <c r="F473">
        <f>IFERROR(SUMIFS('Arrangement Tracker'!$F:$F,'Arrangement Tracker'!$D:$D,$A473,'Arrangement Tracker'!$E:$E,$C473),0)</f>
        <v>0</v>
      </c>
      <c r="G473">
        <f>IFERROR(SUMIFS('Losses &amp; Damages'!$E:$E,'Losses &amp; Damages'!$C:$C,$A473,'Losses &amp; Damages'!$D:$D,$C473),0)</f>
        <v>0</v>
      </c>
      <c r="H473">
        <f t="shared" si="7"/>
        <v>0</v>
      </c>
    </row>
    <row r="474" spans="1:8" x14ac:dyDescent="0.25">
      <c r="A474" s="1"/>
      <c r="B474" s="1"/>
      <c r="C474" s="1"/>
      <c r="D474" s="1"/>
      <c r="E474">
        <f>IFERROR(SUMIFS('Stock Received'!$F:$F,'Stock Received'!$D:$D,$A474,'Stock Received'!$E:$E,$C474),0)</f>
        <v>0</v>
      </c>
      <c r="F474">
        <f>IFERROR(SUMIFS('Arrangement Tracker'!$F:$F,'Arrangement Tracker'!$D:$D,$A474,'Arrangement Tracker'!$E:$E,$C474),0)</f>
        <v>0</v>
      </c>
      <c r="G474">
        <f>IFERROR(SUMIFS('Losses &amp; Damages'!$E:$E,'Losses &amp; Damages'!$C:$C,$A474,'Losses &amp; Damages'!$D:$D,$C474),0)</f>
        <v>0</v>
      </c>
      <c r="H474">
        <f t="shared" si="7"/>
        <v>0</v>
      </c>
    </row>
    <row r="475" spans="1:8" x14ac:dyDescent="0.25">
      <c r="A475" s="1"/>
      <c r="B475" s="1"/>
      <c r="C475" s="1"/>
      <c r="D475" s="1"/>
      <c r="E475">
        <f>IFERROR(SUMIFS('Stock Received'!$F:$F,'Stock Received'!$D:$D,$A475,'Stock Received'!$E:$E,$C475),0)</f>
        <v>0</v>
      </c>
      <c r="F475">
        <f>IFERROR(SUMIFS('Arrangement Tracker'!$F:$F,'Arrangement Tracker'!$D:$D,$A475,'Arrangement Tracker'!$E:$E,$C475),0)</f>
        <v>0</v>
      </c>
      <c r="G475">
        <f>IFERROR(SUMIFS('Losses &amp; Damages'!$E:$E,'Losses &amp; Damages'!$C:$C,$A475,'Losses &amp; Damages'!$D:$D,$C475),0)</f>
        <v>0</v>
      </c>
      <c r="H475">
        <f t="shared" si="7"/>
        <v>0</v>
      </c>
    </row>
    <row r="476" spans="1:8" x14ac:dyDescent="0.25">
      <c r="A476" s="1"/>
      <c r="B476" s="1"/>
      <c r="C476" s="1"/>
      <c r="D476" s="1"/>
      <c r="E476">
        <f>IFERROR(SUMIFS('Stock Received'!$F:$F,'Stock Received'!$D:$D,$A476,'Stock Received'!$E:$E,$C476),0)</f>
        <v>0</v>
      </c>
      <c r="F476">
        <f>IFERROR(SUMIFS('Arrangement Tracker'!$F:$F,'Arrangement Tracker'!$D:$D,$A476,'Arrangement Tracker'!$E:$E,$C476),0)</f>
        <v>0</v>
      </c>
      <c r="G476">
        <f>IFERROR(SUMIFS('Losses &amp; Damages'!$E:$E,'Losses &amp; Damages'!$C:$C,$A476,'Losses &amp; Damages'!$D:$D,$C476),0)</f>
        <v>0</v>
      </c>
      <c r="H476">
        <f t="shared" si="7"/>
        <v>0</v>
      </c>
    </row>
    <row r="477" spans="1:8" x14ac:dyDescent="0.25">
      <c r="A477" s="1"/>
      <c r="B477" s="1"/>
      <c r="C477" s="1"/>
      <c r="D477" s="1"/>
      <c r="E477">
        <f>IFERROR(SUMIFS('Stock Received'!$F:$F,'Stock Received'!$D:$D,$A477,'Stock Received'!$E:$E,$C477),0)</f>
        <v>0</v>
      </c>
      <c r="F477">
        <f>IFERROR(SUMIFS('Arrangement Tracker'!$F:$F,'Arrangement Tracker'!$D:$D,$A477,'Arrangement Tracker'!$E:$E,$C477),0)</f>
        <v>0</v>
      </c>
      <c r="G477">
        <f>IFERROR(SUMIFS('Losses &amp; Damages'!$E:$E,'Losses &amp; Damages'!$C:$C,$A477,'Losses &amp; Damages'!$D:$D,$C477),0)</f>
        <v>0</v>
      </c>
      <c r="H477">
        <f t="shared" si="7"/>
        <v>0</v>
      </c>
    </row>
    <row r="478" spans="1:8" x14ac:dyDescent="0.25">
      <c r="A478" s="1"/>
      <c r="B478" s="1"/>
      <c r="C478" s="1"/>
      <c r="D478" s="1"/>
      <c r="E478">
        <f>IFERROR(SUMIFS('Stock Received'!$F:$F,'Stock Received'!$D:$D,$A478,'Stock Received'!$E:$E,$C478),0)</f>
        <v>0</v>
      </c>
      <c r="F478">
        <f>IFERROR(SUMIFS('Arrangement Tracker'!$F:$F,'Arrangement Tracker'!$D:$D,$A478,'Arrangement Tracker'!$E:$E,$C478),0)</f>
        <v>0</v>
      </c>
      <c r="G478">
        <f>IFERROR(SUMIFS('Losses &amp; Damages'!$E:$E,'Losses &amp; Damages'!$C:$C,$A478,'Losses &amp; Damages'!$D:$D,$C478),0)</f>
        <v>0</v>
      </c>
      <c r="H478">
        <f t="shared" si="7"/>
        <v>0</v>
      </c>
    </row>
    <row r="479" spans="1:8" x14ac:dyDescent="0.25">
      <c r="A479" s="1"/>
      <c r="B479" s="1"/>
      <c r="C479" s="1"/>
      <c r="D479" s="1"/>
      <c r="E479">
        <f>IFERROR(SUMIFS('Stock Received'!$F:$F,'Stock Received'!$D:$D,$A479,'Stock Received'!$E:$E,$C479),0)</f>
        <v>0</v>
      </c>
      <c r="F479">
        <f>IFERROR(SUMIFS('Arrangement Tracker'!$F:$F,'Arrangement Tracker'!$D:$D,$A479,'Arrangement Tracker'!$E:$E,$C479),0)</f>
        <v>0</v>
      </c>
      <c r="G479">
        <f>IFERROR(SUMIFS('Losses &amp; Damages'!$E:$E,'Losses &amp; Damages'!$C:$C,$A479,'Losses &amp; Damages'!$D:$D,$C479),0)</f>
        <v>0</v>
      </c>
      <c r="H479">
        <f t="shared" si="7"/>
        <v>0</v>
      </c>
    </row>
    <row r="480" spans="1:8" x14ac:dyDescent="0.25">
      <c r="A480" s="1"/>
      <c r="B480" s="1"/>
      <c r="C480" s="1"/>
      <c r="D480" s="1"/>
      <c r="E480">
        <f>IFERROR(SUMIFS('Stock Received'!$F:$F,'Stock Received'!$D:$D,$A480,'Stock Received'!$E:$E,$C480),0)</f>
        <v>0</v>
      </c>
      <c r="F480">
        <f>IFERROR(SUMIFS('Arrangement Tracker'!$F:$F,'Arrangement Tracker'!$D:$D,$A480,'Arrangement Tracker'!$E:$E,$C480),0)</f>
        <v>0</v>
      </c>
      <c r="G480">
        <f>IFERROR(SUMIFS('Losses &amp; Damages'!$E:$E,'Losses &amp; Damages'!$C:$C,$A480,'Losses &amp; Damages'!$D:$D,$C480),0)</f>
        <v>0</v>
      </c>
      <c r="H480">
        <f t="shared" si="7"/>
        <v>0</v>
      </c>
    </row>
    <row r="481" spans="1:8" x14ac:dyDescent="0.25">
      <c r="A481" s="1"/>
      <c r="B481" s="1"/>
      <c r="C481" s="1"/>
      <c r="D481" s="1"/>
      <c r="E481">
        <f>IFERROR(SUMIFS('Stock Received'!$F:$F,'Stock Received'!$D:$D,$A481,'Stock Received'!$E:$E,$C481),0)</f>
        <v>0</v>
      </c>
      <c r="F481">
        <f>IFERROR(SUMIFS('Arrangement Tracker'!$F:$F,'Arrangement Tracker'!$D:$D,$A481,'Arrangement Tracker'!$E:$E,$C481),0)</f>
        <v>0</v>
      </c>
      <c r="G481">
        <f>IFERROR(SUMIFS('Losses &amp; Damages'!$E:$E,'Losses &amp; Damages'!$C:$C,$A481,'Losses &amp; Damages'!$D:$D,$C481),0)</f>
        <v>0</v>
      </c>
      <c r="H481">
        <f t="shared" si="7"/>
        <v>0</v>
      </c>
    </row>
    <row r="482" spans="1:8" x14ac:dyDescent="0.25">
      <c r="A482" s="1"/>
      <c r="B482" s="1"/>
      <c r="C482" s="1"/>
      <c r="D482" s="1"/>
      <c r="E482">
        <f>IFERROR(SUMIFS('Stock Received'!$F:$F,'Stock Received'!$D:$D,$A482,'Stock Received'!$E:$E,$C482),0)</f>
        <v>0</v>
      </c>
      <c r="F482">
        <f>IFERROR(SUMIFS('Arrangement Tracker'!$F:$F,'Arrangement Tracker'!$D:$D,$A482,'Arrangement Tracker'!$E:$E,$C482),0)</f>
        <v>0</v>
      </c>
      <c r="G482">
        <f>IFERROR(SUMIFS('Losses &amp; Damages'!$E:$E,'Losses &amp; Damages'!$C:$C,$A482,'Losses &amp; Damages'!$D:$D,$C482),0)</f>
        <v>0</v>
      </c>
      <c r="H482">
        <f t="shared" si="7"/>
        <v>0</v>
      </c>
    </row>
    <row r="483" spans="1:8" x14ac:dyDescent="0.25">
      <c r="A483" s="1"/>
      <c r="B483" s="1"/>
      <c r="C483" s="1"/>
      <c r="D483" s="1"/>
      <c r="E483">
        <f>IFERROR(SUMIFS('Stock Received'!$F:$F,'Stock Received'!$D:$D,$A483,'Stock Received'!$E:$E,$C483),0)</f>
        <v>0</v>
      </c>
      <c r="F483">
        <f>IFERROR(SUMIFS('Arrangement Tracker'!$F:$F,'Arrangement Tracker'!$D:$D,$A483,'Arrangement Tracker'!$E:$E,$C483),0)</f>
        <v>0</v>
      </c>
      <c r="G483">
        <f>IFERROR(SUMIFS('Losses &amp; Damages'!$E:$E,'Losses &amp; Damages'!$C:$C,$A483,'Losses &amp; Damages'!$D:$D,$C483),0)</f>
        <v>0</v>
      </c>
      <c r="H483">
        <f t="shared" si="7"/>
        <v>0</v>
      </c>
    </row>
    <row r="484" spans="1:8" x14ac:dyDescent="0.25">
      <c r="A484" s="1"/>
      <c r="B484" s="1"/>
      <c r="C484" s="1"/>
      <c r="D484" s="1"/>
      <c r="E484">
        <f>IFERROR(SUMIFS('Stock Received'!$F:$F,'Stock Received'!$D:$D,$A484,'Stock Received'!$E:$E,$C484),0)</f>
        <v>0</v>
      </c>
      <c r="F484">
        <f>IFERROR(SUMIFS('Arrangement Tracker'!$F:$F,'Arrangement Tracker'!$D:$D,$A484,'Arrangement Tracker'!$E:$E,$C484),0)</f>
        <v>0</v>
      </c>
      <c r="G484">
        <f>IFERROR(SUMIFS('Losses &amp; Damages'!$E:$E,'Losses &amp; Damages'!$C:$C,$A484,'Losses &amp; Damages'!$D:$D,$C484),0)</f>
        <v>0</v>
      </c>
      <c r="H484">
        <f t="shared" si="7"/>
        <v>0</v>
      </c>
    </row>
    <row r="485" spans="1:8" x14ac:dyDescent="0.25">
      <c r="A485" s="1"/>
      <c r="B485" s="1"/>
      <c r="C485" s="1"/>
      <c r="D485" s="1"/>
      <c r="E485">
        <f>IFERROR(SUMIFS('Stock Received'!$F:$F,'Stock Received'!$D:$D,$A485,'Stock Received'!$E:$E,$C485),0)</f>
        <v>0</v>
      </c>
      <c r="F485">
        <f>IFERROR(SUMIFS('Arrangement Tracker'!$F:$F,'Arrangement Tracker'!$D:$D,$A485,'Arrangement Tracker'!$E:$E,$C485),0)</f>
        <v>0</v>
      </c>
      <c r="G485">
        <f>IFERROR(SUMIFS('Losses &amp; Damages'!$E:$E,'Losses &amp; Damages'!$C:$C,$A485,'Losses &amp; Damages'!$D:$D,$C485),0)</f>
        <v>0</v>
      </c>
      <c r="H485">
        <f t="shared" si="7"/>
        <v>0</v>
      </c>
    </row>
    <row r="486" spans="1:8" x14ac:dyDescent="0.25">
      <c r="A486" s="1"/>
      <c r="B486" s="1"/>
      <c r="C486" s="1"/>
      <c r="D486" s="1"/>
      <c r="E486">
        <f>IFERROR(SUMIFS('Stock Received'!$F:$F,'Stock Received'!$D:$D,$A486,'Stock Received'!$E:$E,$C486),0)</f>
        <v>0</v>
      </c>
      <c r="F486">
        <f>IFERROR(SUMIFS('Arrangement Tracker'!$F:$F,'Arrangement Tracker'!$D:$D,$A486,'Arrangement Tracker'!$E:$E,$C486),0)</f>
        <v>0</v>
      </c>
      <c r="G486">
        <f>IFERROR(SUMIFS('Losses &amp; Damages'!$E:$E,'Losses &amp; Damages'!$C:$C,$A486,'Losses &amp; Damages'!$D:$D,$C486),0)</f>
        <v>0</v>
      </c>
      <c r="H486">
        <f t="shared" si="7"/>
        <v>0</v>
      </c>
    </row>
    <row r="487" spans="1:8" x14ac:dyDescent="0.25">
      <c r="A487" s="1"/>
      <c r="B487" s="1"/>
      <c r="C487" s="1"/>
      <c r="D487" s="1"/>
      <c r="E487">
        <f>IFERROR(SUMIFS('Stock Received'!$F:$F,'Stock Received'!$D:$D,$A487,'Stock Received'!$E:$E,$C487),0)</f>
        <v>0</v>
      </c>
      <c r="F487">
        <f>IFERROR(SUMIFS('Arrangement Tracker'!$F:$F,'Arrangement Tracker'!$D:$D,$A487,'Arrangement Tracker'!$E:$E,$C487),0)</f>
        <v>0</v>
      </c>
      <c r="G487">
        <f>IFERROR(SUMIFS('Losses &amp; Damages'!$E:$E,'Losses &amp; Damages'!$C:$C,$A487,'Losses &amp; Damages'!$D:$D,$C487),0)</f>
        <v>0</v>
      </c>
      <c r="H487">
        <f t="shared" si="7"/>
        <v>0</v>
      </c>
    </row>
    <row r="488" spans="1:8" x14ac:dyDescent="0.25">
      <c r="A488" s="1"/>
      <c r="B488" s="1"/>
      <c r="C488" s="1"/>
      <c r="D488" s="1"/>
      <c r="E488">
        <f>IFERROR(SUMIFS('Stock Received'!$F:$F,'Stock Received'!$D:$D,$A488,'Stock Received'!$E:$E,$C488),0)</f>
        <v>0</v>
      </c>
      <c r="F488">
        <f>IFERROR(SUMIFS('Arrangement Tracker'!$F:$F,'Arrangement Tracker'!$D:$D,$A488,'Arrangement Tracker'!$E:$E,$C488),0)</f>
        <v>0</v>
      </c>
      <c r="G488">
        <f>IFERROR(SUMIFS('Losses &amp; Damages'!$E:$E,'Losses &amp; Damages'!$C:$C,$A488,'Losses &amp; Damages'!$D:$D,$C488),0)</f>
        <v>0</v>
      </c>
      <c r="H488">
        <f t="shared" si="7"/>
        <v>0</v>
      </c>
    </row>
    <row r="489" spans="1:8" x14ac:dyDescent="0.25">
      <c r="A489" s="1"/>
      <c r="B489" s="1"/>
      <c r="C489" s="1"/>
      <c r="D489" s="1"/>
      <c r="E489">
        <f>IFERROR(SUMIFS('Stock Received'!$F:$F,'Stock Received'!$D:$D,$A489,'Stock Received'!$E:$E,$C489),0)</f>
        <v>0</v>
      </c>
      <c r="F489">
        <f>IFERROR(SUMIFS('Arrangement Tracker'!$F:$F,'Arrangement Tracker'!$D:$D,$A489,'Arrangement Tracker'!$E:$E,$C489),0)</f>
        <v>0</v>
      </c>
      <c r="G489">
        <f>IFERROR(SUMIFS('Losses &amp; Damages'!$E:$E,'Losses &amp; Damages'!$C:$C,$A489,'Losses &amp; Damages'!$D:$D,$C489),0)</f>
        <v>0</v>
      </c>
      <c r="H489">
        <f t="shared" si="7"/>
        <v>0</v>
      </c>
    </row>
    <row r="490" spans="1:8" x14ac:dyDescent="0.25">
      <c r="A490" s="1"/>
      <c r="B490" s="1"/>
      <c r="C490" s="1"/>
      <c r="D490" s="1"/>
      <c r="E490">
        <f>IFERROR(SUMIFS('Stock Received'!$F:$F,'Stock Received'!$D:$D,$A490,'Stock Received'!$E:$E,$C490),0)</f>
        <v>0</v>
      </c>
      <c r="F490">
        <f>IFERROR(SUMIFS('Arrangement Tracker'!$F:$F,'Arrangement Tracker'!$D:$D,$A490,'Arrangement Tracker'!$E:$E,$C490),0)</f>
        <v>0</v>
      </c>
      <c r="G490">
        <f>IFERROR(SUMIFS('Losses &amp; Damages'!$E:$E,'Losses &amp; Damages'!$C:$C,$A490,'Losses &amp; Damages'!$D:$D,$C490),0)</f>
        <v>0</v>
      </c>
      <c r="H490">
        <f t="shared" si="7"/>
        <v>0</v>
      </c>
    </row>
    <row r="491" spans="1:8" x14ac:dyDescent="0.25">
      <c r="A491" s="1"/>
      <c r="B491" s="1"/>
      <c r="C491" s="1"/>
      <c r="D491" s="1"/>
      <c r="E491">
        <f>IFERROR(SUMIFS('Stock Received'!$F:$F,'Stock Received'!$D:$D,$A491,'Stock Received'!$E:$E,$C491),0)</f>
        <v>0</v>
      </c>
      <c r="F491">
        <f>IFERROR(SUMIFS('Arrangement Tracker'!$F:$F,'Arrangement Tracker'!$D:$D,$A491,'Arrangement Tracker'!$E:$E,$C491),0)</f>
        <v>0</v>
      </c>
      <c r="G491">
        <f>IFERROR(SUMIFS('Losses &amp; Damages'!$E:$E,'Losses &amp; Damages'!$C:$C,$A491,'Losses &amp; Damages'!$D:$D,$C491),0)</f>
        <v>0</v>
      </c>
      <c r="H491">
        <f t="shared" si="7"/>
        <v>0</v>
      </c>
    </row>
    <row r="492" spans="1:8" x14ac:dyDescent="0.25">
      <c r="A492" s="1"/>
      <c r="B492" s="1"/>
      <c r="C492" s="1"/>
      <c r="D492" s="1"/>
      <c r="E492">
        <f>IFERROR(SUMIFS('Stock Received'!$F:$F,'Stock Received'!$D:$D,$A492,'Stock Received'!$E:$E,$C492),0)</f>
        <v>0</v>
      </c>
      <c r="F492">
        <f>IFERROR(SUMIFS('Arrangement Tracker'!$F:$F,'Arrangement Tracker'!$D:$D,$A492,'Arrangement Tracker'!$E:$E,$C492),0)</f>
        <v>0</v>
      </c>
      <c r="G492">
        <f>IFERROR(SUMIFS('Losses &amp; Damages'!$E:$E,'Losses &amp; Damages'!$C:$C,$A492,'Losses &amp; Damages'!$D:$D,$C492),0)</f>
        <v>0</v>
      </c>
      <c r="H492">
        <f t="shared" si="7"/>
        <v>0</v>
      </c>
    </row>
    <row r="493" spans="1:8" x14ac:dyDescent="0.25">
      <c r="A493" s="1"/>
      <c r="B493" s="1"/>
      <c r="C493" s="1"/>
      <c r="D493" s="1"/>
      <c r="E493">
        <f>IFERROR(SUMIFS('Stock Received'!$F:$F,'Stock Received'!$D:$D,$A493,'Stock Received'!$E:$E,$C493),0)</f>
        <v>0</v>
      </c>
      <c r="F493">
        <f>IFERROR(SUMIFS('Arrangement Tracker'!$F:$F,'Arrangement Tracker'!$D:$D,$A493,'Arrangement Tracker'!$E:$E,$C493),0)</f>
        <v>0</v>
      </c>
      <c r="G493">
        <f>IFERROR(SUMIFS('Losses &amp; Damages'!$E:$E,'Losses &amp; Damages'!$C:$C,$A493,'Losses &amp; Damages'!$D:$D,$C493),0)</f>
        <v>0</v>
      </c>
      <c r="H493">
        <f t="shared" si="7"/>
        <v>0</v>
      </c>
    </row>
    <row r="494" spans="1:8" x14ac:dyDescent="0.25">
      <c r="A494" s="1"/>
      <c r="B494" s="1"/>
      <c r="C494" s="1"/>
      <c r="D494" s="1"/>
      <c r="E494">
        <f>IFERROR(SUMIFS('Stock Received'!$F:$F,'Stock Received'!$D:$D,$A494,'Stock Received'!$E:$E,$C494),0)</f>
        <v>0</v>
      </c>
      <c r="F494">
        <f>IFERROR(SUMIFS('Arrangement Tracker'!$F:$F,'Arrangement Tracker'!$D:$D,$A494,'Arrangement Tracker'!$E:$E,$C494),0)</f>
        <v>0</v>
      </c>
      <c r="G494">
        <f>IFERROR(SUMIFS('Losses &amp; Damages'!$E:$E,'Losses &amp; Damages'!$C:$C,$A494,'Losses &amp; Damages'!$D:$D,$C494),0)</f>
        <v>0</v>
      </c>
      <c r="H494">
        <f t="shared" si="7"/>
        <v>0</v>
      </c>
    </row>
    <row r="495" spans="1:8" x14ac:dyDescent="0.25">
      <c r="A495" s="1"/>
      <c r="B495" s="1"/>
      <c r="C495" s="1"/>
      <c r="D495" s="1"/>
      <c r="E495">
        <f>IFERROR(SUMIFS('Stock Received'!$F:$F,'Stock Received'!$D:$D,$A495,'Stock Received'!$E:$E,$C495),0)</f>
        <v>0</v>
      </c>
      <c r="F495">
        <f>IFERROR(SUMIFS('Arrangement Tracker'!$F:$F,'Arrangement Tracker'!$D:$D,$A495,'Arrangement Tracker'!$E:$E,$C495),0)</f>
        <v>0</v>
      </c>
      <c r="G495">
        <f>IFERROR(SUMIFS('Losses &amp; Damages'!$E:$E,'Losses &amp; Damages'!$C:$C,$A495,'Losses &amp; Damages'!$D:$D,$C495),0)</f>
        <v>0</v>
      </c>
      <c r="H495">
        <f t="shared" si="7"/>
        <v>0</v>
      </c>
    </row>
    <row r="496" spans="1:8" x14ac:dyDescent="0.25">
      <c r="A496" s="1"/>
      <c r="B496" s="1"/>
      <c r="C496" s="1"/>
      <c r="D496" s="1"/>
      <c r="E496">
        <f>IFERROR(SUMIFS('Stock Received'!$F:$F,'Stock Received'!$D:$D,$A496,'Stock Received'!$E:$E,$C496),0)</f>
        <v>0</v>
      </c>
      <c r="F496">
        <f>IFERROR(SUMIFS('Arrangement Tracker'!$F:$F,'Arrangement Tracker'!$D:$D,$A496,'Arrangement Tracker'!$E:$E,$C496),0)</f>
        <v>0</v>
      </c>
      <c r="G496">
        <f>IFERROR(SUMIFS('Losses &amp; Damages'!$E:$E,'Losses &amp; Damages'!$C:$C,$A496,'Losses &amp; Damages'!$D:$D,$C496),0)</f>
        <v>0</v>
      </c>
      <c r="H496">
        <f t="shared" si="7"/>
        <v>0</v>
      </c>
    </row>
    <row r="497" spans="1:8" x14ac:dyDescent="0.25">
      <c r="A497" s="1"/>
      <c r="B497" s="1"/>
      <c r="C497" s="1"/>
      <c r="D497" s="1"/>
      <c r="E497">
        <f>IFERROR(SUMIFS('Stock Received'!$F:$F,'Stock Received'!$D:$D,$A497,'Stock Received'!$E:$E,$C497),0)</f>
        <v>0</v>
      </c>
      <c r="F497">
        <f>IFERROR(SUMIFS('Arrangement Tracker'!$F:$F,'Arrangement Tracker'!$D:$D,$A497,'Arrangement Tracker'!$E:$E,$C497),0)</f>
        <v>0</v>
      </c>
      <c r="G497">
        <f>IFERROR(SUMIFS('Losses &amp; Damages'!$E:$E,'Losses &amp; Damages'!$C:$C,$A497,'Losses &amp; Damages'!$D:$D,$C497),0)</f>
        <v>0</v>
      </c>
      <c r="H497">
        <f t="shared" si="7"/>
        <v>0</v>
      </c>
    </row>
    <row r="498" spans="1:8" x14ac:dyDescent="0.25">
      <c r="A498" s="1"/>
      <c r="B498" s="1"/>
      <c r="C498" s="1"/>
      <c r="D498" s="1"/>
      <c r="E498">
        <f>IFERROR(SUMIFS('Stock Received'!$F:$F,'Stock Received'!$D:$D,$A498,'Stock Received'!$E:$E,$C498),0)</f>
        <v>0</v>
      </c>
      <c r="F498">
        <f>IFERROR(SUMIFS('Arrangement Tracker'!$F:$F,'Arrangement Tracker'!$D:$D,$A498,'Arrangement Tracker'!$E:$E,$C498),0)</f>
        <v>0</v>
      </c>
      <c r="G498">
        <f>IFERROR(SUMIFS('Losses &amp; Damages'!$E:$E,'Losses &amp; Damages'!$C:$C,$A498,'Losses &amp; Damages'!$D:$D,$C498),0)</f>
        <v>0</v>
      </c>
      <c r="H498">
        <f t="shared" si="7"/>
        <v>0</v>
      </c>
    </row>
    <row r="499" spans="1:8" x14ac:dyDescent="0.25">
      <c r="A499" s="1"/>
      <c r="B499" s="1"/>
      <c r="C499" s="1"/>
      <c r="D499" s="1"/>
      <c r="E499">
        <f>IFERROR(SUMIFS('Stock Received'!$F:$F,'Stock Received'!$D:$D,$A499,'Stock Received'!$E:$E,$C499),0)</f>
        <v>0</v>
      </c>
      <c r="F499">
        <f>IFERROR(SUMIFS('Arrangement Tracker'!$F:$F,'Arrangement Tracker'!$D:$D,$A499,'Arrangement Tracker'!$E:$E,$C499),0)</f>
        <v>0</v>
      </c>
      <c r="G499">
        <f>IFERROR(SUMIFS('Losses &amp; Damages'!$E:$E,'Losses &amp; Damages'!$C:$C,$A499,'Losses &amp; Damages'!$D:$D,$C499),0)</f>
        <v>0</v>
      </c>
      <c r="H499">
        <f t="shared" si="7"/>
        <v>0</v>
      </c>
    </row>
    <row r="500" spans="1:8" x14ac:dyDescent="0.25">
      <c r="A500" s="1"/>
      <c r="B500" s="1"/>
      <c r="C500" s="1"/>
      <c r="D500" s="1"/>
      <c r="E500">
        <f>IFERROR(SUMIFS('Stock Received'!$F:$F,'Stock Received'!$D:$D,$A500,'Stock Received'!$E:$E,$C500),0)</f>
        <v>0</v>
      </c>
      <c r="F500">
        <f>IFERROR(SUMIFS('Arrangement Tracker'!$F:$F,'Arrangement Tracker'!$D:$D,$A500,'Arrangement Tracker'!$E:$E,$C500),0)</f>
        <v>0</v>
      </c>
      <c r="G500">
        <f>IFERROR(SUMIFS('Losses &amp; Damages'!$E:$E,'Losses &amp; Damages'!$C:$C,$A500,'Losses &amp; Damages'!$D:$D,$C500),0)</f>
        <v>0</v>
      </c>
      <c r="H500">
        <f t="shared" si="7"/>
        <v>0</v>
      </c>
    </row>
    <row r="501" spans="1:8" x14ac:dyDescent="0.25">
      <c r="A501" s="1"/>
      <c r="B501" s="1"/>
      <c r="C501" s="1"/>
      <c r="D501" s="1"/>
      <c r="E501">
        <f>IFERROR(SUMIFS('Stock Received'!$F:$F,'Stock Received'!$D:$D,$A501,'Stock Received'!$E:$E,$C501),0)</f>
        <v>0</v>
      </c>
      <c r="F501">
        <f>IFERROR(SUMIFS('Arrangement Tracker'!$F:$F,'Arrangement Tracker'!$D:$D,$A501,'Arrangement Tracker'!$E:$E,$C501),0)</f>
        <v>0</v>
      </c>
      <c r="G501">
        <f>IFERROR(SUMIFS('Losses &amp; Damages'!$E:$E,'Losses &amp; Damages'!$C:$C,$A501,'Losses &amp; Damages'!$D:$D,$C501),0)</f>
        <v>0</v>
      </c>
      <c r="H501">
        <f t="shared" si="7"/>
        <v>0</v>
      </c>
    </row>
  </sheetData>
  <sheetProtection password="C66E" sheet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workbookViewId="0">
      <selection activeCell="H2" sqref="H2:H500"/>
    </sheetView>
  </sheetViews>
  <sheetFormatPr defaultRowHeight="15" x14ac:dyDescent="0.25"/>
  <sheetData>
    <row r="1" spans="1:9" x14ac:dyDescent="0.25">
      <c r="A1" s="1" t="s">
        <v>6</v>
      </c>
      <c r="B1" s="1" t="s">
        <v>7</v>
      </c>
      <c r="C1" s="1" t="s">
        <v>32</v>
      </c>
      <c r="D1" s="1" t="s">
        <v>33</v>
      </c>
      <c r="E1" s="1" t="s">
        <v>20</v>
      </c>
      <c r="F1" s="1" t="s">
        <v>34</v>
      </c>
      <c r="G1" s="1" t="s">
        <v>35</v>
      </c>
      <c r="H1" s="1" t="s">
        <v>36</v>
      </c>
      <c r="I1" s="1" t="s">
        <v>37</v>
      </c>
    </row>
  </sheetData>
  <dataValidations count="1">
    <dataValidation type="list" showInputMessage="1" showErrorMessage="1" sqref="G2:G500" xr:uid="{00000000-0002-0000-0400-000002000000}">
      <formula1>"Satin,Poly,Organza"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Reference_Lists!#REF!</xm:f>
          </x14:formula1>
          <xm:sqref>H2:H500 C2:D500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/>
  </sheetViews>
  <sheetFormatPr defaultRowHeight="15" x14ac:dyDescent="0.25"/>
  <sheetData>
    <row r="1" spans="1:8" x14ac:dyDescent="0.25">
      <c r="A1" s="1" t="s">
        <v>6</v>
      </c>
      <c r="B1" s="1" t="s">
        <v>26</v>
      </c>
      <c r="C1" s="1" t="s">
        <v>25</v>
      </c>
      <c r="D1" s="1" t="s">
        <v>20</v>
      </c>
      <c r="E1" s="1" t="s">
        <v>38</v>
      </c>
      <c r="F1" s="1" t="s">
        <v>39</v>
      </c>
      <c r="G1" s="1" t="s">
        <v>40</v>
      </c>
      <c r="H1" s="1" t="s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01"/>
  <sheetViews>
    <sheetView workbookViewId="0">
      <selection activeCell="D2" sqref="D2:D500"/>
    </sheetView>
  </sheetViews>
  <sheetFormatPr defaultRowHeight="15" x14ac:dyDescent="0.25"/>
  <sheetData>
    <row r="1" spans="1:8" x14ac:dyDescent="0.25">
      <c r="A1" s="1" t="s">
        <v>6</v>
      </c>
      <c r="B1" s="1" t="s">
        <v>7</v>
      </c>
      <c r="C1" s="1" t="s">
        <v>14</v>
      </c>
      <c r="D1" s="1" t="s">
        <v>42</v>
      </c>
      <c r="E1" s="1" t="s">
        <v>43</v>
      </c>
      <c r="F1" s="1" t="s">
        <v>24</v>
      </c>
      <c r="G1" s="1" t="s">
        <v>44</v>
      </c>
      <c r="H1" s="1" t="s">
        <v>45</v>
      </c>
    </row>
    <row r="2" spans="1:8" x14ac:dyDescent="0.25">
      <c r="A2" t="str">
        <f>IFERROR(INDEX('Orders &amp; Payments'!$A$2:$A$500,MATCH($E2,'Orders &amp; Payments'!$J$2:$J$500,0)),"")</f>
        <v/>
      </c>
      <c r="B2" t="str">
        <f>IFERROR(INDEX('Orders &amp; Payments'!$B$2:$B$500,MATCH($E2,'Orders &amp; Payments'!$J$2:$J$500,0)),"")</f>
        <v/>
      </c>
      <c r="C2" t="str">
        <f>IFERROR(INDEX('Orders &amp; Payments'!$I$2:$I$500,MATCH($E2,'Orders &amp; Payments'!$J$2:$J$500,0)),"")</f>
        <v/>
      </c>
      <c r="D2" t="str">
        <f>IFERROR(INDEX('Orders &amp; Payments'!$H$2:$H$500,MATCH($E2,'Orders &amp; Payments'!$J$2:$J$500,0)),"")</f>
        <v/>
      </c>
      <c r="E2" s="1"/>
      <c r="F2" s="1"/>
      <c r="G2" s="1"/>
      <c r="H2" s="1"/>
    </row>
    <row r="3" spans="1:8" x14ac:dyDescent="0.25">
      <c r="A3" t="str">
        <f>IFERROR(INDEX('Orders &amp; Payments'!$A$2:$A$500,MATCH($E3,'Orders &amp; Payments'!$J$2:$J$500,0)),"")</f>
        <v/>
      </c>
      <c r="B3" t="str">
        <f>IFERROR(INDEX('Orders &amp; Payments'!$B$2:$B$500,MATCH($E3,'Orders &amp; Payments'!$J$2:$J$500,0)),"")</f>
        <v/>
      </c>
      <c r="C3" t="str">
        <f>IFERROR(INDEX('Orders &amp; Payments'!$I$2:$I$500,MATCH($E3,'Orders &amp; Payments'!$J$2:$J$500,0)),"")</f>
        <v/>
      </c>
      <c r="D3" t="str">
        <f>IFERROR(INDEX('Orders &amp; Payments'!$H$2:$H$500,MATCH($E3,'Orders &amp; Payments'!$J$2:$J$500,0)),"")</f>
        <v/>
      </c>
      <c r="E3" s="1"/>
      <c r="F3" s="1"/>
      <c r="G3" s="1"/>
      <c r="H3" s="1"/>
    </row>
    <row r="4" spans="1:8" x14ac:dyDescent="0.25">
      <c r="A4" t="str">
        <f>IFERROR(INDEX('Orders &amp; Payments'!$A$2:$A$500,MATCH($E4,'Orders &amp; Payments'!$J$2:$J$500,0)),"")</f>
        <v/>
      </c>
      <c r="B4" t="str">
        <f>IFERROR(INDEX('Orders &amp; Payments'!$B$2:$B$500,MATCH($E4,'Orders &amp; Payments'!$J$2:$J$500,0)),"")</f>
        <v/>
      </c>
      <c r="C4" t="str">
        <f>IFERROR(INDEX('Orders &amp; Payments'!$I$2:$I$500,MATCH($E4,'Orders &amp; Payments'!$J$2:$J$500,0)),"")</f>
        <v/>
      </c>
      <c r="D4" t="str">
        <f>IFERROR(INDEX('Orders &amp; Payments'!$H$2:$H$500,MATCH($E4,'Orders &amp; Payments'!$J$2:$J$500,0)),"")</f>
        <v/>
      </c>
      <c r="E4" s="1"/>
      <c r="F4" s="1"/>
      <c r="G4" s="1"/>
      <c r="H4" s="1"/>
    </row>
    <row r="5" spans="1:8" x14ac:dyDescent="0.25">
      <c r="A5" t="str">
        <f>IFERROR(INDEX('Orders &amp; Payments'!$A$2:$A$500,MATCH($E5,'Orders &amp; Payments'!$J$2:$J$500,0)),"")</f>
        <v/>
      </c>
      <c r="B5" t="str">
        <f>IFERROR(INDEX('Orders &amp; Payments'!$B$2:$B$500,MATCH($E5,'Orders &amp; Payments'!$J$2:$J$500,0)),"")</f>
        <v/>
      </c>
      <c r="C5" t="str">
        <f>IFERROR(INDEX('Orders &amp; Payments'!$I$2:$I$500,MATCH($E5,'Orders &amp; Payments'!$J$2:$J$500,0)),"")</f>
        <v/>
      </c>
      <c r="D5" t="str">
        <f>IFERROR(INDEX('Orders &amp; Payments'!$H$2:$H$500,MATCH($E5,'Orders &amp; Payments'!$J$2:$J$500,0)),"")</f>
        <v/>
      </c>
      <c r="E5" s="1"/>
      <c r="F5" s="1"/>
      <c r="G5" s="1"/>
      <c r="H5" s="1"/>
    </row>
    <row r="6" spans="1:8" x14ac:dyDescent="0.25">
      <c r="A6" t="str">
        <f>IFERROR(INDEX('Orders &amp; Payments'!$A$2:$A$500,MATCH($E6,'Orders &amp; Payments'!$J$2:$J$500,0)),"")</f>
        <v/>
      </c>
      <c r="B6" t="str">
        <f>IFERROR(INDEX('Orders &amp; Payments'!$B$2:$B$500,MATCH($E6,'Orders &amp; Payments'!$J$2:$J$500,0)),"")</f>
        <v/>
      </c>
      <c r="C6" t="str">
        <f>IFERROR(INDEX('Orders &amp; Payments'!$I$2:$I$500,MATCH($E6,'Orders &amp; Payments'!$J$2:$J$500,0)),"")</f>
        <v/>
      </c>
      <c r="D6" t="str">
        <f>IFERROR(INDEX('Orders &amp; Payments'!$H$2:$H$500,MATCH($E6,'Orders &amp; Payments'!$J$2:$J$500,0)),"")</f>
        <v/>
      </c>
      <c r="E6" s="1"/>
      <c r="F6" s="1"/>
      <c r="G6" s="1"/>
      <c r="H6" s="1"/>
    </row>
    <row r="7" spans="1:8" x14ac:dyDescent="0.25">
      <c r="A7" t="str">
        <f>IFERROR(INDEX('Orders &amp; Payments'!$A$2:$A$500,MATCH($E7,'Orders &amp; Payments'!$J$2:$J$500,0)),"")</f>
        <v/>
      </c>
      <c r="B7" t="str">
        <f>IFERROR(INDEX('Orders &amp; Payments'!$B$2:$B$500,MATCH($E7,'Orders &amp; Payments'!$J$2:$J$500,0)),"")</f>
        <v/>
      </c>
      <c r="C7" t="str">
        <f>IFERROR(INDEX('Orders &amp; Payments'!$I$2:$I$500,MATCH($E7,'Orders &amp; Payments'!$J$2:$J$500,0)),"")</f>
        <v/>
      </c>
      <c r="D7" t="str">
        <f>IFERROR(INDEX('Orders &amp; Payments'!$H$2:$H$500,MATCH($E7,'Orders &amp; Payments'!$J$2:$J$500,0)),"")</f>
        <v/>
      </c>
      <c r="E7" s="1"/>
      <c r="F7" s="1"/>
      <c r="G7" s="1"/>
      <c r="H7" s="1"/>
    </row>
    <row r="8" spans="1:8" x14ac:dyDescent="0.25">
      <c r="A8" t="str">
        <f>IFERROR(INDEX('Orders &amp; Payments'!$A$2:$A$500,MATCH($E8,'Orders &amp; Payments'!$J$2:$J$500,0)),"")</f>
        <v/>
      </c>
      <c r="B8" t="str">
        <f>IFERROR(INDEX('Orders &amp; Payments'!$B$2:$B$500,MATCH($E8,'Orders &amp; Payments'!$J$2:$J$500,0)),"")</f>
        <v/>
      </c>
      <c r="C8" t="str">
        <f>IFERROR(INDEX('Orders &amp; Payments'!$I$2:$I$500,MATCH($E8,'Orders &amp; Payments'!$J$2:$J$500,0)),"")</f>
        <v/>
      </c>
      <c r="D8" t="str">
        <f>IFERROR(INDEX('Orders &amp; Payments'!$H$2:$H$500,MATCH($E8,'Orders &amp; Payments'!$J$2:$J$500,0)),"")</f>
        <v/>
      </c>
      <c r="E8" s="1"/>
      <c r="F8" s="1"/>
      <c r="G8" s="1"/>
      <c r="H8" s="1"/>
    </row>
    <row r="9" spans="1:8" x14ac:dyDescent="0.25">
      <c r="A9" t="str">
        <f>IFERROR(INDEX('Orders &amp; Payments'!$A$2:$A$500,MATCH($E9,'Orders &amp; Payments'!$J$2:$J$500,0)),"")</f>
        <v/>
      </c>
      <c r="B9" t="str">
        <f>IFERROR(INDEX('Orders &amp; Payments'!$B$2:$B$500,MATCH($E9,'Orders &amp; Payments'!$J$2:$J$500,0)),"")</f>
        <v/>
      </c>
      <c r="C9" t="str">
        <f>IFERROR(INDEX('Orders &amp; Payments'!$I$2:$I$500,MATCH($E9,'Orders &amp; Payments'!$J$2:$J$500,0)),"")</f>
        <v/>
      </c>
      <c r="D9" t="str">
        <f>IFERROR(INDEX('Orders &amp; Payments'!$H$2:$H$500,MATCH($E9,'Orders &amp; Payments'!$J$2:$J$500,0)),"")</f>
        <v/>
      </c>
      <c r="E9" s="1"/>
      <c r="F9" s="1"/>
      <c r="G9" s="1"/>
      <c r="H9" s="1"/>
    </row>
    <row r="10" spans="1:8" x14ac:dyDescent="0.25">
      <c r="A10" t="str">
        <f>IFERROR(INDEX('Orders &amp; Payments'!$A$2:$A$500,MATCH($E10,'Orders &amp; Payments'!$J$2:$J$500,0)),"")</f>
        <v/>
      </c>
      <c r="B10" t="str">
        <f>IFERROR(INDEX('Orders &amp; Payments'!$B$2:$B$500,MATCH($E10,'Orders &amp; Payments'!$J$2:$J$500,0)),"")</f>
        <v/>
      </c>
      <c r="C10" t="str">
        <f>IFERROR(INDEX('Orders &amp; Payments'!$I$2:$I$500,MATCH($E10,'Orders &amp; Payments'!$J$2:$J$500,0)),"")</f>
        <v/>
      </c>
      <c r="D10" t="str">
        <f>IFERROR(INDEX('Orders &amp; Payments'!$H$2:$H$500,MATCH($E10,'Orders &amp; Payments'!$J$2:$J$500,0)),"")</f>
        <v/>
      </c>
      <c r="E10" s="1"/>
      <c r="F10" s="1"/>
      <c r="G10" s="1"/>
      <c r="H10" s="1"/>
    </row>
    <row r="11" spans="1:8" x14ac:dyDescent="0.25">
      <c r="A11" t="str">
        <f>IFERROR(INDEX('Orders &amp; Payments'!$A$2:$A$500,MATCH($E11,'Orders &amp; Payments'!$J$2:$J$500,0)),"")</f>
        <v/>
      </c>
      <c r="B11" t="str">
        <f>IFERROR(INDEX('Orders &amp; Payments'!$B$2:$B$500,MATCH($E11,'Orders &amp; Payments'!$J$2:$J$500,0)),"")</f>
        <v/>
      </c>
      <c r="C11" t="str">
        <f>IFERROR(INDEX('Orders &amp; Payments'!$I$2:$I$500,MATCH($E11,'Orders &amp; Payments'!$J$2:$J$500,0)),"")</f>
        <v/>
      </c>
      <c r="D11" t="str">
        <f>IFERROR(INDEX('Orders &amp; Payments'!$H$2:$H$500,MATCH($E11,'Orders &amp; Payments'!$J$2:$J$500,0)),"")</f>
        <v/>
      </c>
      <c r="E11" s="1"/>
      <c r="F11" s="1"/>
      <c r="G11" s="1"/>
      <c r="H11" s="1"/>
    </row>
    <row r="12" spans="1:8" x14ac:dyDescent="0.25">
      <c r="A12" t="str">
        <f>IFERROR(INDEX('Orders &amp; Payments'!$A$2:$A$500,MATCH($E12,'Orders &amp; Payments'!$J$2:$J$500,0)),"")</f>
        <v/>
      </c>
      <c r="B12" t="str">
        <f>IFERROR(INDEX('Orders &amp; Payments'!$B$2:$B$500,MATCH($E12,'Orders &amp; Payments'!$J$2:$J$500,0)),"")</f>
        <v/>
      </c>
      <c r="C12" t="str">
        <f>IFERROR(INDEX('Orders &amp; Payments'!$I$2:$I$500,MATCH($E12,'Orders &amp; Payments'!$J$2:$J$500,0)),"")</f>
        <v/>
      </c>
      <c r="D12" t="str">
        <f>IFERROR(INDEX('Orders &amp; Payments'!$H$2:$H$500,MATCH($E12,'Orders &amp; Payments'!$J$2:$J$500,0)),"")</f>
        <v/>
      </c>
      <c r="E12" s="1"/>
      <c r="F12" s="1"/>
      <c r="G12" s="1"/>
      <c r="H12" s="1"/>
    </row>
    <row r="13" spans="1:8" x14ac:dyDescent="0.25">
      <c r="A13" t="str">
        <f>IFERROR(INDEX('Orders &amp; Payments'!$A$2:$A$500,MATCH($E13,'Orders &amp; Payments'!$J$2:$J$500,0)),"")</f>
        <v/>
      </c>
      <c r="B13" t="str">
        <f>IFERROR(INDEX('Orders &amp; Payments'!$B$2:$B$500,MATCH($E13,'Orders &amp; Payments'!$J$2:$J$500,0)),"")</f>
        <v/>
      </c>
      <c r="C13" t="str">
        <f>IFERROR(INDEX('Orders &amp; Payments'!$I$2:$I$500,MATCH($E13,'Orders &amp; Payments'!$J$2:$J$500,0)),"")</f>
        <v/>
      </c>
      <c r="D13" t="str">
        <f>IFERROR(INDEX('Orders &amp; Payments'!$H$2:$H$500,MATCH($E13,'Orders &amp; Payments'!$J$2:$J$500,0)),"")</f>
        <v/>
      </c>
      <c r="E13" s="1"/>
      <c r="F13" s="1"/>
      <c r="G13" s="1"/>
      <c r="H13" s="1"/>
    </row>
    <row r="14" spans="1:8" x14ac:dyDescent="0.25">
      <c r="A14" t="str">
        <f>IFERROR(INDEX('Orders &amp; Payments'!$A$2:$A$500,MATCH($E14,'Orders &amp; Payments'!$J$2:$J$500,0)),"")</f>
        <v/>
      </c>
      <c r="B14" t="str">
        <f>IFERROR(INDEX('Orders &amp; Payments'!$B$2:$B$500,MATCH($E14,'Orders &amp; Payments'!$J$2:$J$500,0)),"")</f>
        <v/>
      </c>
      <c r="C14" t="str">
        <f>IFERROR(INDEX('Orders &amp; Payments'!$I$2:$I$500,MATCH($E14,'Orders &amp; Payments'!$J$2:$J$500,0)),"")</f>
        <v/>
      </c>
      <c r="D14" t="str">
        <f>IFERROR(INDEX('Orders &amp; Payments'!$H$2:$H$500,MATCH($E14,'Orders &amp; Payments'!$J$2:$J$500,0)),"")</f>
        <v/>
      </c>
      <c r="E14" s="1"/>
      <c r="F14" s="1"/>
      <c r="G14" s="1"/>
      <c r="H14" s="1"/>
    </row>
    <row r="15" spans="1:8" x14ac:dyDescent="0.25">
      <c r="A15" t="str">
        <f>IFERROR(INDEX('Orders &amp; Payments'!$A$2:$A$500,MATCH($E15,'Orders &amp; Payments'!$J$2:$J$500,0)),"")</f>
        <v/>
      </c>
      <c r="B15" t="str">
        <f>IFERROR(INDEX('Orders &amp; Payments'!$B$2:$B$500,MATCH($E15,'Orders &amp; Payments'!$J$2:$J$500,0)),"")</f>
        <v/>
      </c>
      <c r="C15" t="str">
        <f>IFERROR(INDEX('Orders &amp; Payments'!$I$2:$I$500,MATCH($E15,'Orders &amp; Payments'!$J$2:$J$500,0)),"")</f>
        <v/>
      </c>
      <c r="D15" t="str">
        <f>IFERROR(INDEX('Orders &amp; Payments'!$H$2:$H$500,MATCH($E15,'Orders &amp; Payments'!$J$2:$J$500,0)),"")</f>
        <v/>
      </c>
      <c r="E15" s="1"/>
      <c r="F15" s="1"/>
      <c r="G15" s="1"/>
      <c r="H15" s="1"/>
    </row>
    <row r="16" spans="1:8" x14ac:dyDescent="0.25">
      <c r="A16" t="str">
        <f>IFERROR(INDEX('Orders &amp; Payments'!$A$2:$A$500,MATCH($E16,'Orders &amp; Payments'!$J$2:$J$500,0)),"")</f>
        <v/>
      </c>
      <c r="B16" t="str">
        <f>IFERROR(INDEX('Orders &amp; Payments'!$B$2:$B$500,MATCH($E16,'Orders &amp; Payments'!$J$2:$J$500,0)),"")</f>
        <v/>
      </c>
      <c r="C16" t="str">
        <f>IFERROR(INDEX('Orders &amp; Payments'!$I$2:$I$500,MATCH($E16,'Orders &amp; Payments'!$J$2:$J$500,0)),"")</f>
        <v/>
      </c>
      <c r="D16" t="str">
        <f>IFERROR(INDEX('Orders &amp; Payments'!$H$2:$H$500,MATCH($E16,'Orders &amp; Payments'!$J$2:$J$500,0)),"")</f>
        <v/>
      </c>
      <c r="E16" s="1"/>
      <c r="F16" s="1"/>
      <c r="G16" s="1"/>
      <c r="H16" s="1"/>
    </row>
    <row r="17" spans="1:8" x14ac:dyDescent="0.25">
      <c r="A17" t="str">
        <f>IFERROR(INDEX('Orders &amp; Payments'!$A$2:$A$500,MATCH($E17,'Orders &amp; Payments'!$J$2:$J$500,0)),"")</f>
        <v/>
      </c>
      <c r="B17" t="str">
        <f>IFERROR(INDEX('Orders &amp; Payments'!$B$2:$B$500,MATCH($E17,'Orders &amp; Payments'!$J$2:$J$500,0)),"")</f>
        <v/>
      </c>
      <c r="C17" t="str">
        <f>IFERROR(INDEX('Orders &amp; Payments'!$I$2:$I$500,MATCH($E17,'Orders &amp; Payments'!$J$2:$J$500,0)),"")</f>
        <v/>
      </c>
      <c r="D17" t="str">
        <f>IFERROR(INDEX('Orders &amp; Payments'!$H$2:$H$500,MATCH($E17,'Orders &amp; Payments'!$J$2:$J$500,0)),"")</f>
        <v/>
      </c>
      <c r="E17" s="1"/>
      <c r="F17" s="1"/>
      <c r="G17" s="1"/>
      <c r="H17" s="1"/>
    </row>
    <row r="18" spans="1:8" x14ac:dyDescent="0.25">
      <c r="A18" t="str">
        <f>IFERROR(INDEX('Orders &amp; Payments'!$A$2:$A$500,MATCH($E18,'Orders &amp; Payments'!$J$2:$J$500,0)),"")</f>
        <v/>
      </c>
      <c r="B18" t="str">
        <f>IFERROR(INDEX('Orders &amp; Payments'!$B$2:$B$500,MATCH($E18,'Orders &amp; Payments'!$J$2:$J$500,0)),"")</f>
        <v/>
      </c>
      <c r="C18" t="str">
        <f>IFERROR(INDEX('Orders &amp; Payments'!$I$2:$I$500,MATCH($E18,'Orders &amp; Payments'!$J$2:$J$500,0)),"")</f>
        <v/>
      </c>
      <c r="D18" t="str">
        <f>IFERROR(INDEX('Orders &amp; Payments'!$H$2:$H$500,MATCH($E18,'Orders &amp; Payments'!$J$2:$J$500,0)),"")</f>
        <v/>
      </c>
      <c r="E18" s="1"/>
      <c r="F18" s="1"/>
      <c r="G18" s="1"/>
      <c r="H18" s="1"/>
    </row>
    <row r="19" spans="1:8" x14ac:dyDescent="0.25">
      <c r="A19" t="str">
        <f>IFERROR(INDEX('Orders &amp; Payments'!$A$2:$A$500,MATCH($E19,'Orders &amp; Payments'!$J$2:$J$500,0)),"")</f>
        <v/>
      </c>
      <c r="B19" t="str">
        <f>IFERROR(INDEX('Orders &amp; Payments'!$B$2:$B$500,MATCH($E19,'Orders &amp; Payments'!$J$2:$J$500,0)),"")</f>
        <v/>
      </c>
      <c r="C19" t="str">
        <f>IFERROR(INDEX('Orders &amp; Payments'!$I$2:$I$500,MATCH($E19,'Orders &amp; Payments'!$J$2:$J$500,0)),"")</f>
        <v/>
      </c>
      <c r="D19" t="str">
        <f>IFERROR(INDEX('Orders &amp; Payments'!$H$2:$H$500,MATCH($E19,'Orders &amp; Payments'!$J$2:$J$500,0)),"")</f>
        <v/>
      </c>
      <c r="E19" s="1"/>
      <c r="F19" s="1"/>
      <c r="G19" s="1"/>
      <c r="H19" s="1"/>
    </row>
    <row r="20" spans="1:8" x14ac:dyDescent="0.25">
      <c r="A20" t="str">
        <f>IFERROR(INDEX('Orders &amp; Payments'!$A$2:$A$500,MATCH($E20,'Orders &amp; Payments'!$J$2:$J$500,0)),"")</f>
        <v/>
      </c>
      <c r="B20" t="str">
        <f>IFERROR(INDEX('Orders &amp; Payments'!$B$2:$B$500,MATCH($E20,'Orders &amp; Payments'!$J$2:$J$500,0)),"")</f>
        <v/>
      </c>
      <c r="C20" t="str">
        <f>IFERROR(INDEX('Orders &amp; Payments'!$I$2:$I$500,MATCH($E20,'Orders &amp; Payments'!$J$2:$J$500,0)),"")</f>
        <v/>
      </c>
      <c r="D20" t="str">
        <f>IFERROR(INDEX('Orders &amp; Payments'!$H$2:$H$500,MATCH($E20,'Orders &amp; Payments'!$J$2:$J$500,0)),"")</f>
        <v/>
      </c>
      <c r="E20" s="1"/>
      <c r="F20" s="1"/>
      <c r="G20" s="1"/>
      <c r="H20" s="1"/>
    </row>
    <row r="21" spans="1:8" x14ac:dyDescent="0.25">
      <c r="A21" t="str">
        <f>IFERROR(INDEX('Orders &amp; Payments'!$A$2:$A$500,MATCH($E21,'Orders &amp; Payments'!$J$2:$J$500,0)),"")</f>
        <v/>
      </c>
      <c r="B21" t="str">
        <f>IFERROR(INDEX('Orders &amp; Payments'!$B$2:$B$500,MATCH($E21,'Orders &amp; Payments'!$J$2:$J$500,0)),"")</f>
        <v/>
      </c>
      <c r="C21" t="str">
        <f>IFERROR(INDEX('Orders &amp; Payments'!$I$2:$I$500,MATCH($E21,'Orders &amp; Payments'!$J$2:$J$500,0)),"")</f>
        <v/>
      </c>
      <c r="D21" t="str">
        <f>IFERROR(INDEX('Orders &amp; Payments'!$H$2:$H$500,MATCH($E21,'Orders &amp; Payments'!$J$2:$J$500,0)),"")</f>
        <v/>
      </c>
      <c r="E21" s="1"/>
      <c r="F21" s="1"/>
      <c r="G21" s="1"/>
      <c r="H21" s="1"/>
    </row>
    <row r="22" spans="1:8" x14ac:dyDescent="0.25">
      <c r="A22" t="str">
        <f>IFERROR(INDEX('Orders &amp; Payments'!$A$2:$A$500,MATCH($E22,'Orders &amp; Payments'!$J$2:$J$500,0)),"")</f>
        <v/>
      </c>
      <c r="B22" t="str">
        <f>IFERROR(INDEX('Orders &amp; Payments'!$B$2:$B$500,MATCH($E22,'Orders &amp; Payments'!$J$2:$J$500,0)),"")</f>
        <v/>
      </c>
      <c r="C22" t="str">
        <f>IFERROR(INDEX('Orders &amp; Payments'!$I$2:$I$500,MATCH($E22,'Orders &amp; Payments'!$J$2:$J$500,0)),"")</f>
        <v/>
      </c>
      <c r="D22" t="str">
        <f>IFERROR(INDEX('Orders &amp; Payments'!$H$2:$H$500,MATCH($E22,'Orders &amp; Payments'!$J$2:$J$500,0)),"")</f>
        <v/>
      </c>
      <c r="E22" s="1"/>
      <c r="F22" s="1"/>
      <c r="G22" s="1"/>
      <c r="H22" s="1"/>
    </row>
    <row r="23" spans="1:8" x14ac:dyDescent="0.25">
      <c r="A23" t="str">
        <f>IFERROR(INDEX('Orders &amp; Payments'!$A$2:$A$500,MATCH($E23,'Orders &amp; Payments'!$J$2:$J$500,0)),"")</f>
        <v/>
      </c>
      <c r="B23" t="str">
        <f>IFERROR(INDEX('Orders &amp; Payments'!$B$2:$B$500,MATCH($E23,'Orders &amp; Payments'!$J$2:$J$500,0)),"")</f>
        <v/>
      </c>
      <c r="C23" t="str">
        <f>IFERROR(INDEX('Orders &amp; Payments'!$I$2:$I$500,MATCH($E23,'Orders &amp; Payments'!$J$2:$J$500,0)),"")</f>
        <v/>
      </c>
      <c r="D23" t="str">
        <f>IFERROR(INDEX('Orders &amp; Payments'!$H$2:$H$500,MATCH($E23,'Orders &amp; Payments'!$J$2:$J$500,0)),"")</f>
        <v/>
      </c>
      <c r="E23" s="1"/>
      <c r="F23" s="1"/>
      <c r="G23" s="1"/>
      <c r="H23" s="1"/>
    </row>
    <row r="24" spans="1:8" x14ac:dyDescent="0.25">
      <c r="A24" t="str">
        <f>IFERROR(INDEX('Orders &amp; Payments'!$A$2:$A$500,MATCH($E24,'Orders &amp; Payments'!$J$2:$J$500,0)),"")</f>
        <v/>
      </c>
      <c r="B24" t="str">
        <f>IFERROR(INDEX('Orders &amp; Payments'!$B$2:$B$500,MATCH($E24,'Orders &amp; Payments'!$J$2:$J$500,0)),"")</f>
        <v/>
      </c>
      <c r="C24" t="str">
        <f>IFERROR(INDEX('Orders &amp; Payments'!$I$2:$I$500,MATCH($E24,'Orders &amp; Payments'!$J$2:$J$500,0)),"")</f>
        <v/>
      </c>
      <c r="D24" t="str">
        <f>IFERROR(INDEX('Orders &amp; Payments'!$H$2:$H$500,MATCH($E24,'Orders &amp; Payments'!$J$2:$J$500,0)),"")</f>
        <v/>
      </c>
      <c r="E24" s="1"/>
      <c r="F24" s="1"/>
      <c r="G24" s="1"/>
      <c r="H24" s="1"/>
    </row>
    <row r="25" spans="1:8" x14ac:dyDescent="0.25">
      <c r="A25" t="str">
        <f>IFERROR(INDEX('Orders &amp; Payments'!$A$2:$A$500,MATCH($E25,'Orders &amp; Payments'!$J$2:$J$500,0)),"")</f>
        <v/>
      </c>
      <c r="B25" t="str">
        <f>IFERROR(INDEX('Orders &amp; Payments'!$B$2:$B$500,MATCH($E25,'Orders &amp; Payments'!$J$2:$J$500,0)),"")</f>
        <v/>
      </c>
      <c r="C25" t="str">
        <f>IFERROR(INDEX('Orders &amp; Payments'!$I$2:$I$500,MATCH($E25,'Orders &amp; Payments'!$J$2:$J$500,0)),"")</f>
        <v/>
      </c>
      <c r="D25" t="str">
        <f>IFERROR(INDEX('Orders &amp; Payments'!$H$2:$H$500,MATCH($E25,'Orders &amp; Payments'!$J$2:$J$500,0)),"")</f>
        <v/>
      </c>
      <c r="E25" s="1"/>
      <c r="F25" s="1"/>
      <c r="G25" s="1"/>
      <c r="H25" s="1"/>
    </row>
    <row r="26" spans="1:8" x14ac:dyDescent="0.25">
      <c r="A26" t="str">
        <f>IFERROR(INDEX('Orders &amp; Payments'!$A$2:$A$500,MATCH($E26,'Orders &amp; Payments'!$J$2:$J$500,0)),"")</f>
        <v/>
      </c>
      <c r="B26" t="str">
        <f>IFERROR(INDEX('Orders &amp; Payments'!$B$2:$B$500,MATCH($E26,'Orders &amp; Payments'!$J$2:$J$500,0)),"")</f>
        <v/>
      </c>
      <c r="C26" t="str">
        <f>IFERROR(INDEX('Orders &amp; Payments'!$I$2:$I$500,MATCH($E26,'Orders &amp; Payments'!$J$2:$J$500,0)),"")</f>
        <v/>
      </c>
      <c r="D26" t="str">
        <f>IFERROR(INDEX('Orders &amp; Payments'!$H$2:$H$500,MATCH($E26,'Orders &amp; Payments'!$J$2:$J$500,0)),"")</f>
        <v/>
      </c>
      <c r="E26" s="1"/>
      <c r="F26" s="1"/>
      <c r="G26" s="1"/>
      <c r="H26" s="1"/>
    </row>
    <row r="27" spans="1:8" x14ac:dyDescent="0.25">
      <c r="A27" t="str">
        <f>IFERROR(INDEX('Orders &amp; Payments'!$A$2:$A$500,MATCH($E27,'Orders &amp; Payments'!$J$2:$J$500,0)),"")</f>
        <v/>
      </c>
      <c r="B27" t="str">
        <f>IFERROR(INDEX('Orders &amp; Payments'!$B$2:$B$500,MATCH($E27,'Orders &amp; Payments'!$J$2:$J$500,0)),"")</f>
        <v/>
      </c>
      <c r="C27" t="str">
        <f>IFERROR(INDEX('Orders &amp; Payments'!$I$2:$I$500,MATCH($E27,'Orders &amp; Payments'!$J$2:$J$500,0)),"")</f>
        <v/>
      </c>
      <c r="D27" t="str">
        <f>IFERROR(INDEX('Orders &amp; Payments'!$H$2:$H$500,MATCH($E27,'Orders &amp; Payments'!$J$2:$J$500,0)),"")</f>
        <v/>
      </c>
      <c r="E27" s="1"/>
      <c r="F27" s="1"/>
      <c r="G27" s="1"/>
      <c r="H27" s="1"/>
    </row>
    <row r="28" spans="1:8" x14ac:dyDescent="0.25">
      <c r="A28" t="str">
        <f>IFERROR(INDEX('Orders &amp; Payments'!$A$2:$A$500,MATCH($E28,'Orders &amp; Payments'!$J$2:$J$500,0)),"")</f>
        <v/>
      </c>
      <c r="B28" t="str">
        <f>IFERROR(INDEX('Orders &amp; Payments'!$B$2:$B$500,MATCH($E28,'Orders &amp; Payments'!$J$2:$J$500,0)),"")</f>
        <v/>
      </c>
      <c r="C28" t="str">
        <f>IFERROR(INDEX('Orders &amp; Payments'!$I$2:$I$500,MATCH($E28,'Orders &amp; Payments'!$J$2:$J$500,0)),"")</f>
        <v/>
      </c>
      <c r="D28" t="str">
        <f>IFERROR(INDEX('Orders &amp; Payments'!$H$2:$H$500,MATCH($E28,'Orders &amp; Payments'!$J$2:$J$500,0)),"")</f>
        <v/>
      </c>
      <c r="E28" s="1"/>
      <c r="F28" s="1"/>
      <c r="G28" s="1"/>
      <c r="H28" s="1"/>
    </row>
    <row r="29" spans="1:8" x14ac:dyDescent="0.25">
      <c r="A29" t="str">
        <f>IFERROR(INDEX('Orders &amp; Payments'!$A$2:$A$500,MATCH($E29,'Orders &amp; Payments'!$J$2:$J$500,0)),"")</f>
        <v/>
      </c>
      <c r="B29" t="str">
        <f>IFERROR(INDEX('Orders &amp; Payments'!$B$2:$B$500,MATCH($E29,'Orders &amp; Payments'!$J$2:$J$500,0)),"")</f>
        <v/>
      </c>
      <c r="C29" t="str">
        <f>IFERROR(INDEX('Orders &amp; Payments'!$I$2:$I$500,MATCH($E29,'Orders &amp; Payments'!$J$2:$J$500,0)),"")</f>
        <v/>
      </c>
      <c r="D29" t="str">
        <f>IFERROR(INDEX('Orders &amp; Payments'!$H$2:$H$500,MATCH($E29,'Orders &amp; Payments'!$J$2:$J$500,0)),"")</f>
        <v/>
      </c>
      <c r="E29" s="1"/>
      <c r="F29" s="1"/>
      <c r="G29" s="1"/>
      <c r="H29" s="1"/>
    </row>
    <row r="30" spans="1:8" x14ac:dyDescent="0.25">
      <c r="A30" t="str">
        <f>IFERROR(INDEX('Orders &amp; Payments'!$A$2:$A$500,MATCH($E30,'Orders &amp; Payments'!$J$2:$J$500,0)),"")</f>
        <v/>
      </c>
      <c r="B30" t="str">
        <f>IFERROR(INDEX('Orders &amp; Payments'!$B$2:$B$500,MATCH($E30,'Orders &amp; Payments'!$J$2:$J$500,0)),"")</f>
        <v/>
      </c>
      <c r="C30" t="str">
        <f>IFERROR(INDEX('Orders &amp; Payments'!$I$2:$I$500,MATCH($E30,'Orders &amp; Payments'!$J$2:$J$500,0)),"")</f>
        <v/>
      </c>
      <c r="D30" t="str">
        <f>IFERROR(INDEX('Orders &amp; Payments'!$H$2:$H$500,MATCH($E30,'Orders &amp; Payments'!$J$2:$J$500,0)),"")</f>
        <v/>
      </c>
      <c r="E30" s="1"/>
      <c r="F30" s="1"/>
      <c r="G30" s="1"/>
      <c r="H30" s="1"/>
    </row>
    <row r="31" spans="1:8" x14ac:dyDescent="0.25">
      <c r="A31" t="str">
        <f>IFERROR(INDEX('Orders &amp; Payments'!$A$2:$A$500,MATCH($E31,'Orders &amp; Payments'!$J$2:$J$500,0)),"")</f>
        <v/>
      </c>
      <c r="B31" t="str">
        <f>IFERROR(INDEX('Orders &amp; Payments'!$B$2:$B$500,MATCH($E31,'Orders &amp; Payments'!$J$2:$J$500,0)),"")</f>
        <v/>
      </c>
      <c r="C31" t="str">
        <f>IFERROR(INDEX('Orders &amp; Payments'!$I$2:$I$500,MATCH($E31,'Orders &amp; Payments'!$J$2:$J$500,0)),"")</f>
        <v/>
      </c>
      <c r="D31" t="str">
        <f>IFERROR(INDEX('Orders &amp; Payments'!$H$2:$H$500,MATCH($E31,'Orders &amp; Payments'!$J$2:$J$500,0)),"")</f>
        <v/>
      </c>
      <c r="E31" s="1"/>
      <c r="F31" s="1"/>
      <c r="G31" s="1"/>
      <c r="H31" s="1"/>
    </row>
    <row r="32" spans="1:8" x14ac:dyDescent="0.25">
      <c r="A32" t="str">
        <f>IFERROR(INDEX('Orders &amp; Payments'!$A$2:$A$500,MATCH($E32,'Orders &amp; Payments'!$J$2:$J$500,0)),"")</f>
        <v/>
      </c>
      <c r="B32" t="str">
        <f>IFERROR(INDEX('Orders &amp; Payments'!$B$2:$B$500,MATCH($E32,'Orders &amp; Payments'!$J$2:$J$500,0)),"")</f>
        <v/>
      </c>
      <c r="C32" t="str">
        <f>IFERROR(INDEX('Orders &amp; Payments'!$I$2:$I$500,MATCH($E32,'Orders &amp; Payments'!$J$2:$J$500,0)),"")</f>
        <v/>
      </c>
      <c r="D32" t="str">
        <f>IFERROR(INDEX('Orders &amp; Payments'!$H$2:$H$500,MATCH($E32,'Orders &amp; Payments'!$J$2:$J$500,0)),"")</f>
        <v/>
      </c>
      <c r="E32" s="1"/>
      <c r="F32" s="1"/>
      <c r="G32" s="1"/>
      <c r="H32" s="1"/>
    </row>
    <row r="33" spans="1:8" x14ac:dyDescent="0.25">
      <c r="A33" t="str">
        <f>IFERROR(INDEX('Orders &amp; Payments'!$A$2:$A$500,MATCH($E33,'Orders &amp; Payments'!$J$2:$J$500,0)),"")</f>
        <v/>
      </c>
      <c r="B33" t="str">
        <f>IFERROR(INDEX('Orders &amp; Payments'!$B$2:$B$500,MATCH($E33,'Orders &amp; Payments'!$J$2:$J$500,0)),"")</f>
        <v/>
      </c>
      <c r="C33" t="str">
        <f>IFERROR(INDEX('Orders &amp; Payments'!$I$2:$I$500,MATCH($E33,'Orders &amp; Payments'!$J$2:$J$500,0)),"")</f>
        <v/>
      </c>
      <c r="D33" t="str">
        <f>IFERROR(INDEX('Orders &amp; Payments'!$H$2:$H$500,MATCH($E33,'Orders &amp; Payments'!$J$2:$J$500,0)),"")</f>
        <v/>
      </c>
      <c r="E33" s="1"/>
      <c r="F33" s="1"/>
      <c r="G33" s="1"/>
      <c r="H33" s="1"/>
    </row>
    <row r="34" spans="1:8" x14ac:dyDescent="0.25">
      <c r="A34" t="str">
        <f>IFERROR(INDEX('Orders &amp; Payments'!$A$2:$A$500,MATCH($E34,'Orders &amp; Payments'!$J$2:$J$500,0)),"")</f>
        <v/>
      </c>
      <c r="B34" t="str">
        <f>IFERROR(INDEX('Orders &amp; Payments'!$B$2:$B$500,MATCH($E34,'Orders &amp; Payments'!$J$2:$J$500,0)),"")</f>
        <v/>
      </c>
      <c r="C34" t="str">
        <f>IFERROR(INDEX('Orders &amp; Payments'!$I$2:$I$500,MATCH($E34,'Orders &amp; Payments'!$J$2:$J$500,0)),"")</f>
        <v/>
      </c>
      <c r="D34" t="str">
        <f>IFERROR(INDEX('Orders &amp; Payments'!$H$2:$H$500,MATCH($E34,'Orders &amp; Payments'!$J$2:$J$500,0)),"")</f>
        <v/>
      </c>
      <c r="E34" s="1"/>
      <c r="F34" s="1"/>
      <c r="G34" s="1"/>
      <c r="H34" s="1"/>
    </row>
    <row r="35" spans="1:8" x14ac:dyDescent="0.25">
      <c r="A35" t="str">
        <f>IFERROR(INDEX('Orders &amp; Payments'!$A$2:$A$500,MATCH($E35,'Orders &amp; Payments'!$J$2:$J$500,0)),"")</f>
        <v/>
      </c>
      <c r="B35" t="str">
        <f>IFERROR(INDEX('Orders &amp; Payments'!$B$2:$B$500,MATCH($E35,'Orders &amp; Payments'!$J$2:$J$500,0)),"")</f>
        <v/>
      </c>
      <c r="C35" t="str">
        <f>IFERROR(INDEX('Orders &amp; Payments'!$I$2:$I$500,MATCH($E35,'Orders &amp; Payments'!$J$2:$J$500,0)),"")</f>
        <v/>
      </c>
      <c r="D35" t="str">
        <f>IFERROR(INDEX('Orders &amp; Payments'!$H$2:$H$500,MATCH($E35,'Orders &amp; Payments'!$J$2:$J$500,0)),"")</f>
        <v/>
      </c>
      <c r="E35" s="1"/>
      <c r="F35" s="1"/>
      <c r="G35" s="1"/>
      <c r="H35" s="1"/>
    </row>
    <row r="36" spans="1:8" x14ac:dyDescent="0.25">
      <c r="A36" t="str">
        <f>IFERROR(INDEX('Orders &amp; Payments'!$A$2:$A$500,MATCH($E36,'Orders &amp; Payments'!$J$2:$J$500,0)),"")</f>
        <v/>
      </c>
      <c r="B36" t="str">
        <f>IFERROR(INDEX('Orders &amp; Payments'!$B$2:$B$500,MATCH($E36,'Orders &amp; Payments'!$J$2:$J$500,0)),"")</f>
        <v/>
      </c>
      <c r="C36" t="str">
        <f>IFERROR(INDEX('Orders &amp; Payments'!$I$2:$I$500,MATCH($E36,'Orders &amp; Payments'!$J$2:$J$500,0)),"")</f>
        <v/>
      </c>
      <c r="D36" t="str">
        <f>IFERROR(INDEX('Orders &amp; Payments'!$H$2:$H$500,MATCH($E36,'Orders &amp; Payments'!$J$2:$J$500,0)),"")</f>
        <v/>
      </c>
      <c r="E36" s="1"/>
      <c r="F36" s="1"/>
      <c r="G36" s="1"/>
      <c r="H36" s="1"/>
    </row>
    <row r="37" spans="1:8" x14ac:dyDescent="0.25">
      <c r="A37" t="str">
        <f>IFERROR(INDEX('Orders &amp; Payments'!$A$2:$A$500,MATCH($E37,'Orders &amp; Payments'!$J$2:$J$500,0)),"")</f>
        <v/>
      </c>
      <c r="B37" t="str">
        <f>IFERROR(INDEX('Orders &amp; Payments'!$B$2:$B$500,MATCH($E37,'Orders &amp; Payments'!$J$2:$J$500,0)),"")</f>
        <v/>
      </c>
      <c r="C37" t="str">
        <f>IFERROR(INDEX('Orders &amp; Payments'!$I$2:$I$500,MATCH($E37,'Orders &amp; Payments'!$J$2:$J$500,0)),"")</f>
        <v/>
      </c>
      <c r="D37" t="str">
        <f>IFERROR(INDEX('Orders &amp; Payments'!$H$2:$H$500,MATCH($E37,'Orders &amp; Payments'!$J$2:$J$500,0)),"")</f>
        <v/>
      </c>
      <c r="E37" s="1"/>
      <c r="F37" s="1"/>
      <c r="G37" s="1"/>
      <c r="H37" s="1"/>
    </row>
    <row r="38" spans="1:8" x14ac:dyDescent="0.25">
      <c r="A38" t="str">
        <f>IFERROR(INDEX('Orders &amp; Payments'!$A$2:$A$500,MATCH($E38,'Orders &amp; Payments'!$J$2:$J$500,0)),"")</f>
        <v/>
      </c>
      <c r="B38" t="str">
        <f>IFERROR(INDEX('Orders &amp; Payments'!$B$2:$B$500,MATCH($E38,'Orders &amp; Payments'!$J$2:$J$500,0)),"")</f>
        <v/>
      </c>
      <c r="C38" t="str">
        <f>IFERROR(INDEX('Orders &amp; Payments'!$I$2:$I$500,MATCH($E38,'Orders &amp; Payments'!$J$2:$J$500,0)),"")</f>
        <v/>
      </c>
      <c r="D38" t="str">
        <f>IFERROR(INDEX('Orders &amp; Payments'!$H$2:$H$500,MATCH($E38,'Orders &amp; Payments'!$J$2:$J$500,0)),"")</f>
        <v/>
      </c>
      <c r="E38" s="1"/>
      <c r="F38" s="1"/>
      <c r="G38" s="1"/>
      <c r="H38" s="1"/>
    </row>
    <row r="39" spans="1:8" x14ac:dyDescent="0.25">
      <c r="A39" t="str">
        <f>IFERROR(INDEX('Orders &amp; Payments'!$A$2:$A$500,MATCH($E39,'Orders &amp; Payments'!$J$2:$J$500,0)),"")</f>
        <v/>
      </c>
      <c r="B39" t="str">
        <f>IFERROR(INDEX('Orders &amp; Payments'!$B$2:$B$500,MATCH($E39,'Orders &amp; Payments'!$J$2:$J$500,0)),"")</f>
        <v/>
      </c>
      <c r="C39" t="str">
        <f>IFERROR(INDEX('Orders &amp; Payments'!$I$2:$I$500,MATCH($E39,'Orders &amp; Payments'!$J$2:$J$500,0)),"")</f>
        <v/>
      </c>
      <c r="D39" t="str">
        <f>IFERROR(INDEX('Orders &amp; Payments'!$H$2:$H$500,MATCH($E39,'Orders &amp; Payments'!$J$2:$J$500,0)),"")</f>
        <v/>
      </c>
      <c r="E39" s="1"/>
      <c r="F39" s="1"/>
      <c r="G39" s="1"/>
      <c r="H39" s="1"/>
    </row>
    <row r="40" spans="1:8" x14ac:dyDescent="0.25">
      <c r="A40" t="str">
        <f>IFERROR(INDEX('Orders &amp; Payments'!$A$2:$A$500,MATCH($E40,'Orders &amp; Payments'!$J$2:$J$500,0)),"")</f>
        <v/>
      </c>
      <c r="B40" t="str">
        <f>IFERROR(INDEX('Orders &amp; Payments'!$B$2:$B$500,MATCH($E40,'Orders &amp; Payments'!$J$2:$J$500,0)),"")</f>
        <v/>
      </c>
      <c r="C40" t="str">
        <f>IFERROR(INDEX('Orders &amp; Payments'!$I$2:$I$500,MATCH($E40,'Orders &amp; Payments'!$J$2:$J$500,0)),"")</f>
        <v/>
      </c>
      <c r="D40" t="str">
        <f>IFERROR(INDEX('Orders &amp; Payments'!$H$2:$H$500,MATCH($E40,'Orders &amp; Payments'!$J$2:$J$500,0)),"")</f>
        <v/>
      </c>
      <c r="E40" s="1"/>
      <c r="F40" s="1"/>
      <c r="G40" s="1"/>
      <c r="H40" s="1"/>
    </row>
    <row r="41" spans="1:8" x14ac:dyDescent="0.25">
      <c r="A41" t="str">
        <f>IFERROR(INDEX('Orders &amp; Payments'!$A$2:$A$500,MATCH($E41,'Orders &amp; Payments'!$J$2:$J$500,0)),"")</f>
        <v/>
      </c>
      <c r="B41" t="str">
        <f>IFERROR(INDEX('Orders &amp; Payments'!$B$2:$B$500,MATCH($E41,'Orders &amp; Payments'!$J$2:$J$500,0)),"")</f>
        <v/>
      </c>
      <c r="C41" t="str">
        <f>IFERROR(INDEX('Orders &amp; Payments'!$I$2:$I$500,MATCH($E41,'Orders &amp; Payments'!$J$2:$J$500,0)),"")</f>
        <v/>
      </c>
      <c r="D41" t="str">
        <f>IFERROR(INDEX('Orders &amp; Payments'!$H$2:$H$500,MATCH($E41,'Orders &amp; Payments'!$J$2:$J$500,0)),"")</f>
        <v/>
      </c>
      <c r="E41" s="1"/>
      <c r="F41" s="1"/>
      <c r="G41" s="1"/>
      <c r="H41" s="1"/>
    </row>
    <row r="42" spans="1:8" x14ac:dyDescent="0.25">
      <c r="A42" t="str">
        <f>IFERROR(INDEX('Orders &amp; Payments'!$A$2:$A$500,MATCH($E42,'Orders &amp; Payments'!$J$2:$J$500,0)),"")</f>
        <v/>
      </c>
      <c r="B42" t="str">
        <f>IFERROR(INDEX('Orders &amp; Payments'!$B$2:$B$500,MATCH($E42,'Orders &amp; Payments'!$J$2:$J$500,0)),"")</f>
        <v/>
      </c>
      <c r="C42" t="str">
        <f>IFERROR(INDEX('Orders &amp; Payments'!$I$2:$I$500,MATCH($E42,'Orders &amp; Payments'!$J$2:$J$500,0)),"")</f>
        <v/>
      </c>
      <c r="D42" t="str">
        <f>IFERROR(INDEX('Orders &amp; Payments'!$H$2:$H$500,MATCH($E42,'Orders &amp; Payments'!$J$2:$J$500,0)),"")</f>
        <v/>
      </c>
      <c r="E42" s="1"/>
      <c r="F42" s="1"/>
      <c r="G42" s="1"/>
      <c r="H42" s="1"/>
    </row>
    <row r="43" spans="1:8" x14ac:dyDescent="0.25">
      <c r="A43" t="str">
        <f>IFERROR(INDEX('Orders &amp; Payments'!$A$2:$A$500,MATCH($E43,'Orders &amp; Payments'!$J$2:$J$500,0)),"")</f>
        <v/>
      </c>
      <c r="B43" t="str">
        <f>IFERROR(INDEX('Orders &amp; Payments'!$B$2:$B$500,MATCH($E43,'Orders &amp; Payments'!$J$2:$J$500,0)),"")</f>
        <v/>
      </c>
      <c r="C43" t="str">
        <f>IFERROR(INDEX('Orders &amp; Payments'!$I$2:$I$500,MATCH($E43,'Orders &amp; Payments'!$J$2:$J$500,0)),"")</f>
        <v/>
      </c>
      <c r="D43" t="str">
        <f>IFERROR(INDEX('Orders &amp; Payments'!$H$2:$H$500,MATCH($E43,'Orders &amp; Payments'!$J$2:$J$500,0)),"")</f>
        <v/>
      </c>
      <c r="E43" s="1"/>
      <c r="F43" s="1"/>
      <c r="G43" s="1"/>
      <c r="H43" s="1"/>
    </row>
    <row r="44" spans="1:8" x14ac:dyDescent="0.25">
      <c r="A44" t="str">
        <f>IFERROR(INDEX('Orders &amp; Payments'!$A$2:$A$500,MATCH($E44,'Orders &amp; Payments'!$J$2:$J$500,0)),"")</f>
        <v/>
      </c>
      <c r="B44" t="str">
        <f>IFERROR(INDEX('Orders &amp; Payments'!$B$2:$B$500,MATCH($E44,'Orders &amp; Payments'!$J$2:$J$500,0)),"")</f>
        <v/>
      </c>
      <c r="C44" t="str">
        <f>IFERROR(INDEX('Orders &amp; Payments'!$I$2:$I$500,MATCH($E44,'Orders &amp; Payments'!$J$2:$J$500,0)),"")</f>
        <v/>
      </c>
      <c r="D44" t="str">
        <f>IFERROR(INDEX('Orders &amp; Payments'!$H$2:$H$500,MATCH($E44,'Orders &amp; Payments'!$J$2:$J$500,0)),"")</f>
        <v/>
      </c>
      <c r="E44" s="1"/>
      <c r="F44" s="1"/>
      <c r="G44" s="1"/>
      <c r="H44" s="1"/>
    </row>
    <row r="45" spans="1:8" x14ac:dyDescent="0.25">
      <c r="A45" t="str">
        <f>IFERROR(INDEX('Orders &amp; Payments'!$A$2:$A$500,MATCH($E45,'Orders &amp; Payments'!$J$2:$J$500,0)),"")</f>
        <v/>
      </c>
      <c r="B45" t="str">
        <f>IFERROR(INDEX('Orders &amp; Payments'!$B$2:$B$500,MATCH($E45,'Orders &amp; Payments'!$J$2:$J$500,0)),"")</f>
        <v/>
      </c>
      <c r="C45" t="str">
        <f>IFERROR(INDEX('Orders &amp; Payments'!$I$2:$I$500,MATCH($E45,'Orders &amp; Payments'!$J$2:$J$500,0)),"")</f>
        <v/>
      </c>
      <c r="D45" t="str">
        <f>IFERROR(INDEX('Orders &amp; Payments'!$H$2:$H$500,MATCH($E45,'Orders &amp; Payments'!$J$2:$J$500,0)),"")</f>
        <v/>
      </c>
      <c r="E45" s="1"/>
      <c r="F45" s="1"/>
      <c r="G45" s="1"/>
      <c r="H45" s="1"/>
    </row>
    <row r="46" spans="1:8" x14ac:dyDescent="0.25">
      <c r="A46" t="str">
        <f>IFERROR(INDEX('Orders &amp; Payments'!$A$2:$A$500,MATCH($E46,'Orders &amp; Payments'!$J$2:$J$500,0)),"")</f>
        <v/>
      </c>
      <c r="B46" t="str">
        <f>IFERROR(INDEX('Orders &amp; Payments'!$B$2:$B$500,MATCH($E46,'Orders &amp; Payments'!$J$2:$J$500,0)),"")</f>
        <v/>
      </c>
      <c r="C46" t="str">
        <f>IFERROR(INDEX('Orders &amp; Payments'!$I$2:$I$500,MATCH($E46,'Orders &amp; Payments'!$J$2:$J$500,0)),"")</f>
        <v/>
      </c>
      <c r="D46" t="str">
        <f>IFERROR(INDEX('Orders &amp; Payments'!$H$2:$H$500,MATCH($E46,'Orders &amp; Payments'!$J$2:$J$500,0)),"")</f>
        <v/>
      </c>
      <c r="E46" s="1"/>
      <c r="F46" s="1"/>
      <c r="G46" s="1"/>
      <c r="H46" s="1"/>
    </row>
    <row r="47" spans="1:8" x14ac:dyDescent="0.25">
      <c r="A47" t="str">
        <f>IFERROR(INDEX('Orders &amp; Payments'!$A$2:$A$500,MATCH($E47,'Orders &amp; Payments'!$J$2:$J$500,0)),"")</f>
        <v/>
      </c>
      <c r="B47" t="str">
        <f>IFERROR(INDEX('Orders &amp; Payments'!$B$2:$B$500,MATCH($E47,'Orders &amp; Payments'!$J$2:$J$500,0)),"")</f>
        <v/>
      </c>
      <c r="C47" t="str">
        <f>IFERROR(INDEX('Orders &amp; Payments'!$I$2:$I$500,MATCH($E47,'Orders &amp; Payments'!$J$2:$J$500,0)),"")</f>
        <v/>
      </c>
      <c r="D47" t="str">
        <f>IFERROR(INDEX('Orders &amp; Payments'!$H$2:$H$500,MATCH($E47,'Orders &amp; Payments'!$J$2:$J$500,0)),"")</f>
        <v/>
      </c>
      <c r="E47" s="1"/>
      <c r="F47" s="1"/>
      <c r="G47" s="1"/>
      <c r="H47" s="1"/>
    </row>
    <row r="48" spans="1:8" x14ac:dyDescent="0.25">
      <c r="A48" t="str">
        <f>IFERROR(INDEX('Orders &amp; Payments'!$A$2:$A$500,MATCH($E48,'Orders &amp; Payments'!$J$2:$J$500,0)),"")</f>
        <v/>
      </c>
      <c r="B48" t="str">
        <f>IFERROR(INDEX('Orders &amp; Payments'!$B$2:$B$500,MATCH($E48,'Orders &amp; Payments'!$J$2:$J$500,0)),"")</f>
        <v/>
      </c>
      <c r="C48" t="str">
        <f>IFERROR(INDEX('Orders &amp; Payments'!$I$2:$I$500,MATCH($E48,'Orders &amp; Payments'!$J$2:$J$500,0)),"")</f>
        <v/>
      </c>
      <c r="D48" t="str">
        <f>IFERROR(INDEX('Orders &amp; Payments'!$H$2:$H$500,MATCH($E48,'Orders &amp; Payments'!$J$2:$J$500,0)),"")</f>
        <v/>
      </c>
      <c r="E48" s="1"/>
      <c r="F48" s="1"/>
      <c r="G48" s="1"/>
      <c r="H48" s="1"/>
    </row>
    <row r="49" spans="1:8" x14ac:dyDescent="0.25">
      <c r="A49" t="str">
        <f>IFERROR(INDEX('Orders &amp; Payments'!$A$2:$A$500,MATCH($E49,'Orders &amp; Payments'!$J$2:$J$500,0)),"")</f>
        <v/>
      </c>
      <c r="B49" t="str">
        <f>IFERROR(INDEX('Orders &amp; Payments'!$B$2:$B$500,MATCH($E49,'Orders &amp; Payments'!$J$2:$J$500,0)),"")</f>
        <v/>
      </c>
      <c r="C49" t="str">
        <f>IFERROR(INDEX('Orders &amp; Payments'!$I$2:$I$500,MATCH($E49,'Orders &amp; Payments'!$J$2:$J$500,0)),"")</f>
        <v/>
      </c>
      <c r="D49" t="str">
        <f>IFERROR(INDEX('Orders &amp; Payments'!$H$2:$H$500,MATCH($E49,'Orders &amp; Payments'!$J$2:$J$500,0)),"")</f>
        <v/>
      </c>
      <c r="E49" s="1"/>
      <c r="F49" s="1"/>
      <c r="G49" s="1"/>
      <c r="H49" s="1"/>
    </row>
    <row r="50" spans="1:8" x14ac:dyDescent="0.25">
      <c r="A50" t="str">
        <f>IFERROR(INDEX('Orders &amp; Payments'!$A$2:$A$500,MATCH($E50,'Orders &amp; Payments'!$J$2:$J$500,0)),"")</f>
        <v/>
      </c>
      <c r="B50" t="str">
        <f>IFERROR(INDEX('Orders &amp; Payments'!$B$2:$B$500,MATCH($E50,'Orders &amp; Payments'!$J$2:$J$500,0)),"")</f>
        <v/>
      </c>
      <c r="C50" t="str">
        <f>IFERROR(INDEX('Orders &amp; Payments'!$I$2:$I$500,MATCH($E50,'Orders &amp; Payments'!$J$2:$J$500,0)),"")</f>
        <v/>
      </c>
      <c r="D50" t="str">
        <f>IFERROR(INDEX('Orders &amp; Payments'!$H$2:$H$500,MATCH($E50,'Orders &amp; Payments'!$J$2:$J$500,0)),"")</f>
        <v/>
      </c>
      <c r="E50" s="1"/>
      <c r="F50" s="1"/>
      <c r="G50" s="1"/>
      <c r="H50" s="1"/>
    </row>
    <row r="51" spans="1:8" x14ac:dyDescent="0.25">
      <c r="A51" t="str">
        <f>IFERROR(INDEX('Orders &amp; Payments'!$A$2:$A$500,MATCH($E51,'Orders &amp; Payments'!$J$2:$J$500,0)),"")</f>
        <v/>
      </c>
      <c r="B51" t="str">
        <f>IFERROR(INDEX('Orders &amp; Payments'!$B$2:$B$500,MATCH($E51,'Orders &amp; Payments'!$J$2:$J$500,0)),"")</f>
        <v/>
      </c>
      <c r="C51" t="str">
        <f>IFERROR(INDEX('Orders &amp; Payments'!$I$2:$I$500,MATCH($E51,'Orders &amp; Payments'!$J$2:$J$500,0)),"")</f>
        <v/>
      </c>
      <c r="D51" t="str">
        <f>IFERROR(INDEX('Orders &amp; Payments'!$H$2:$H$500,MATCH($E51,'Orders &amp; Payments'!$J$2:$J$500,0)),"")</f>
        <v/>
      </c>
      <c r="E51" s="1"/>
      <c r="F51" s="1"/>
      <c r="G51" s="1"/>
      <c r="H51" s="1"/>
    </row>
    <row r="52" spans="1:8" x14ac:dyDescent="0.25">
      <c r="A52" t="str">
        <f>IFERROR(INDEX('Orders &amp; Payments'!$A$2:$A$500,MATCH($E52,'Orders &amp; Payments'!$J$2:$J$500,0)),"")</f>
        <v/>
      </c>
      <c r="B52" t="str">
        <f>IFERROR(INDEX('Orders &amp; Payments'!$B$2:$B$500,MATCH($E52,'Orders &amp; Payments'!$J$2:$J$500,0)),"")</f>
        <v/>
      </c>
      <c r="C52" t="str">
        <f>IFERROR(INDEX('Orders &amp; Payments'!$I$2:$I$500,MATCH($E52,'Orders &amp; Payments'!$J$2:$J$500,0)),"")</f>
        <v/>
      </c>
      <c r="D52" t="str">
        <f>IFERROR(INDEX('Orders &amp; Payments'!$H$2:$H$500,MATCH($E52,'Orders &amp; Payments'!$J$2:$J$500,0)),"")</f>
        <v/>
      </c>
      <c r="E52" s="1"/>
      <c r="F52" s="1"/>
      <c r="G52" s="1"/>
      <c r="H52" s="1"/>
    </row>
    <row r="53" spans="1:8" x14ac:dyDescent="0.25">
      <c r="A53" t="str">
        <f>IFERROR(INDEX('Orders &amp; Payments'!$A$2:$A$500,MATCH($E53,'Orders &amp; Payments'!$J$2:$J$500,0)),"")</f>
        <v/>
      </c>
      <c r="B53" t="str">
        <f>IFERROR(INDEX('Orders &amp; Payments'!$B$2:$B$500,MATCH($E53,'Orders &amp; Payments'!$J$2:$J$500,0)),"")</f>
        <v/>
      </c>
      <c r="C53" t="str">
        <f>IFERROR(INDEX('Orders &amp; Payments'!$I$2:$I$500,MATCH($E53,'Orders &amp; Payments'!$J$2:$J$500,0)),"")</f>
        <v/>
      </c>
      <c r="D53" t="str">
        <f>IFERROR(INDEX('Orders &amp; Payments'!$H$2:$H$500,MATCH($E53,'Orders &amp; Payments'!$J$2:$J$500,0)),"")</f>
        <v/>
      </c>
      <c r="E53" s="1"/>
      <c r="F53" s="1"/>
      <c r="G53" s="1"/>
      <c r="H53" s="1"/>
    </row>
    <row r="54" spans="1:8" x14ac:dyDescent="0.25">
      <c r="A54" t="str">
        <f>IFERROR(INDEX('Orders &amp; Payments'!$A$2:$A$500,MATCH($E54,'Orders &amp; Payments'!$J$2:$J$500,0)),"")</f>
        <v/>
      </c>
      <c r="B54" t="str">
        <f>IFERROR(INDEX('Orders &amp; Payments'!$B$2:$B$500,MATCH($E54,'Orders &amp; Payments'!$J$2:$J$500,0)),"")</f>
        <v/>
      </c>
      <c r="C54" t="str">
        <f>IFERROR(INDEX('Orders &amp; Payments'!$I$2:$I$500,MATCH($E54,'Orders &amp; Payments'!$J$2:$J$500,0)),"")</f>
        <v/>
      </c>
      <c r="D54" t="str">
        <f>IFERROR(INDEX('Orders &amp; Payments'!$H$2:$H$500,MATCH($E54,'Orders &amp; Payments'!$J$2:$J$500,0)),"")</f>
        <v/>
      </c>
      <c r="E54" s="1"/>
      <c r="F54" s="1"/>
      <c r="G54" s="1"/>
      <c r="H54" s="1"/>
    </row>
    <row r="55" spans="1:8" x14ac:dyDescent="0.25">
      <c r="A55" t="str">
        <f>IFERROR(INDEX('Orders &amp; Payments'!$A$2:$A$500,MATCH($E55,'Orders &amp; Payments'!$J$2:$J$500,0)),"")</f>
        <v/>
      </c>
      <c r="B55" t="str">
        <f>IFERROR(INDEX('Orders &amp; Payments'!$B$2:$B$500,MATCH($E55,'Orders &amp; Payments'!$J$2:$J$500,0)),"")</f>
        <v/>
      </c>
      <c r="C55" t="str">
        <f>IFERROR(INDEX('Orders &amp; Payments'!$I$2:$I$500,MATCH($E55,'Orders &amp; Payments'!$J$2:$J$500,0)),"")</f>
        <v/>
      </c>
      <c r="D55" t="str">
        <f>IFERROR(INDEX('Orders &amp; Payments'!$H$2:$H$500,MATCH($E55,'Orders &amp; Payments'!$J$2:$J$500,0)),"")</f>
        <v/>
      </c>
      <c r="E55" s="1"/>
      <c r="F55" s="1"/>
      <c r="G55" s="1"/>
      <c r="H55" s="1"/>
    </row>
    <row r="56" spans="1:8" x14ac:dyDescent="0.25">
      <c r="A56" t="str">
        <f>IFERROR(INDEX('Orders &amp; Payments'!$A$2:$A$500,MATCH($E56,'Orders &amp; Payments'!$J$2:$J$500,0)),"")</f>
        <v/>
      </c>
      <c r="B56" t="str">
        <f>IFERROR(INDEX('Orders &amp; Payments'!$B$2:$B$500,MATCH($E56,'Orders &amp; Payments'!$J$2:$J$500,0)),"")</f>
        <v/>
      </c>
      <c r="C56" t="str">
        <f>IFERROR(INDEX('Orders &amp; Payments'!$I$2:$I$500,MATCH($E56,'Orders &amp; Payments'!$J$2:$J$500,0)),"")</f>
        <v/>
      </c>
      <c r="D56" t="str">
        <f>IFERROR(INDEX('Orders &amp; Payments'!$H$2:$H$500,MATCH($E56,'Orders &amp; Payments'!$J$2:$J$500,0)),"")</f>
        <v/>
      </c>
      <c r="E56" s="1"/>
      <c r="F56" s="1"/>
      <c r="G56" s="1"/>
      <c r="H56" s="1"/>
    </row>
    <row r="57" spans="1:8" x14ac:dyDescent="0.25">
      <c r="A57" t="str">
        <f>IFERROR(INDEX('Orders &amp; Payments'!$A$2:$A$500,MATCH($E57,'Orders &amp; Payments'!$J$2:$J$500,0)),"")</f>
        <v/>
      </c>
      <c r="B57" t="str">
        <f>IFERROR(INDEX('Orders &amp; Payments'!$B$2:$B$500,MATCH($E57,'Orders &amp; Payments'!$J$2:$J$500,0)),"")</f>
        <v/>
      </c>
      <c r="C57" t="str">
        <f>IFERROR(INDEX('Orders &amp; Payments'!$I$2:$I$500,MATCH($E57,'Orders &amp; Payments'!$J$2:$J$500,0)),"")</f>
        <v/>
      </c>
      <c r="D57" t="str">
        <f>IFERROR(INDEX('Orders &amp; Payments'!$H$2:$H$500,MATCH($E57,'Orders &amp; Payments'!$J$2:$J$500,0)),"")</f>
        <v/>
      </c>
      <c r="E57" s="1"/>
      <c r="F57" s="1"/>
      <c r="G57" s="1"/>
      <c r="H57" s="1"/>
    </row>
    <row r="58" spans="1:8" x14ac:dyDescent="0.25">
      <c r="A58" t="str">
        <f>IFERROR(INDEX('Orders &amp; Payments'!$A$2:$A$500,MATCH($E58,'Orders &amp; Payments'!$J$2:$J$500,0)),"")</f>
        <v/>
      </c>
      <c r="B58" t="str">
        <f>IFERROR(INDEX('Orders &amp; Payments'!$B$2:$B$500,MATCH($E58,'Orders &amp; Payments'!$J$2:$J$500,0)),"")</f>
        <v/>
      </c>
      <c r="C58" t="str">
        <f>IFERROR(INDEX('Orders &amp; Payments'!$I$2:$I$500,MATCH($E58,'Orders &amp; Payments'!$J$2:$J$500,0)),"")</f>
        <v/>
      </c>
      <c r="D58" t="str">
        <f>IFERROR(INDEX('Orders &amp; Payments'!$H$2:$H$500,MATCH($E58,'Orders &amp; Payments'!$J$2:$J$500,0)),"")</f>
        <v/>
      </c>
      <c r="E58" s="1"/>
      <c r="F58" s="1"/>
      <c r="G58" s="1"/>
      <c r="H58" s="1"/>
    </row>
    <row r="59" spans="1:8" x14ac:dyDescent="0.25">
      <c r="A59" t="str">
        <f>IFERROR(INDEX('Orders &amp; Payments'!$A$2:$A$500,MATCH($E59,'Orders &amp; Payments'!$J$2:$J$500,0)),"")</f>
        <v/>
      </c>
      <c r="B59" t="str">
        <f>IFERROR(INDEX('Orders &amp; Payments'!$B$2:$B$500,MATCH($E59,'Orders &amp; Payments'!$J$2:$J$500,0)),"")</f>
        <v/>
      </c>
      <c r="C59" t="str">
        <f>IFERROR(INDEX('Orders &amp; Payments'!$I$2:$I$500,MATCH($E59,'Orders &amp; Payments'!$J$2:$J$500,0)),"")</f>
        <v/>
      </c>
      <c r="D59" t="str">
        <f>IFERROR(INDEX('Orders &amp; Payments'!$H$2:$H$500,MATCH($E59,'Orders &amp; Payments'!$J$2:$J$500,0)),"")</f>
        <v/>
      </c>
      <c r="E59" s="1"/>
      <c r="F59" s="1"/>
      <c r="G59" s="1"/>
      <c r="H59" s="1"/>
    </row>
    <row r="60" spans="1:8" x14ac:dyDescent="0.25">
      <c r="A60" t="str">
        <f>IFERROR(INDEX('Orders &amp; Payments'!$A$2:$A$500,MATCH($E60,'Orders &amp; Payments'!$J$2:$J$500,0)),"")</f>
        <v/>
      </c>
      <c r="B60" t="str">
        <f>IFERROR(INDEX('Orders &amp; Payments'!$B$2:$B$500,MATCH($E60,'Orders &amp; Payments'!$J$2:$J$500,0)),"")</f>
        <v/>
      </c>
      <c r="C60" t="str">
        <f>IFERROR(INDEX('Orders &amp; Payments'!$I$2:$I$500,MATCH($E60,'Orders &amp; Payments'!$J$2:$J$500,0)),"")</f>
        <v/>
      </c>
      <c r="D60" t="str">
        <f>IFERROR(INDEX('Orders &amp; Payments'!$H$2:$H$500,MATCH($E60,'Orders &amp; Payments'!$J$2:$J$500,0)),"")</f>
        <v/>
      </c>
      <c r="E60" s="1"/>
      <c r="F60" s="1"/>
      <c r="G60" s="1"/>
      <c r="H60" s="1"/>
    </row>
    <row r="61" spans="1:8" x14ac:dyDescent="0.25">
      <c r="A61" t="str">
        <f>IFERROR(INDEX('Orders &amp; Payments'!$A$2:$A$500,MATCH($E61,'Orders &amp; Payments'!$J$2:$J$500,0)),"")</f>
        <v/>
      </c>
      <c r="B61" t="str">
        <f>IFERROR(INDEX('Orders &amp; Payments'!$B$2:$B$500,MATCH($E61,'Orders &amp; Payments'!$J$2:$J$500,0)),"")</f>
        <v/>
      </c>
      <c r="C61" t="str">
        <f>IFERROR(INDEX('Orders &amp; Payments'!$I$2:$I$500,MATCH($E61,'Orders &amp; Payments'!$J$2:$J$500,0)),"")</f>
        <v/>
      </c>
      <c r="D61" t="str">
        <f>IFERROR(INDEX('Orders &amp; Payments'!$H$2:$H$500,MATCH($E61,'Orders &amp; Payments'!$J$2:$J$500,0)),"")</f>
        <v/>
      </c>
      <c r="E61" s="1"/>
      <c r="F61" s="1"/>
      <c r="G61" s="1"/>
      <c r="H61" s="1"/>
    </row>
    <row r="62" spans="1:8" x14ac:dyDescent="0.25">
      <c r="A62" t="str">
        <f>IFERROR(INDEX('Orders &amp; Payments'!$A$2:$A$500,MATCH($E62,'Orders &amp; Payments'!$J$2:$J$500,0)),"")</f>
        <v/>
      </c>
      <c r="B62" t="str">
        <f>IFERROR(INDEX('Orders &amp; Payments'!$B$2:$B$500,MATCH($E62,'Orders &amp; Payments'!$J$2:$J$500,0)),"")</f>
        <v/>
      </c>
      <c r="C62" t="str">
        <f>IFERROR(INDEX('Orders &amp; Payments'!$I$2:$I$500,MATCH($E62,'Orders &amp; Payments'!$J$2:$J$500,0)),"")</f>
        <v/>
      </c>
      <c r="D62" t="str">
        <f>IFERROR(INDEX('Orders &amp; Payments'!$H$2:$H$500,MATCH($E62,'Orders &amp; Payments'!$J$2:$J$500,0)),"")</f>
        <v/>
      </c>
      <c r="E62" s="1"/>
      <c r="F62" s="1"/>
      <c r="G62" s="1"/>
      <c r="H62" s="1"/>
    </row>
    <row r="63" spans="1:8" x14ac:dyDescent="0.25">
      <c r="A63" t="str">
        <f>IFERROR(INDEX('Orders &amp; Payments'!$A$2:$A$500,MATCH($E63,'Orders &amp; Payments'!$J$2:$J$500,0)),"")</f>
        <v/>
      </c>
      <c r="B63" t="str">
        <f>IFERROR(INDEX('Orders &amp; Payments'!$B$2:$B$500,MATCH($E63,'Orders &amp; Payments'!$J$2:$J$500,0)),"")</f>
        <v/>
      </c>
      <c r="C63" t="str">
        <f>IFERROR(INDEX('Orders &amp; Payments'!$I$2:$I$500,MATCH($E63,'Orders &amp; Payments'!$J$2:$J$500,0)),"")</f>
        <v/>
      </c>
      <c r="D63" t="str">
        <f>IFERROR(INDEX('Orders &amp; Payments'!$H$2:$H$500,MATCH($E63,'Orders &amp; Payments'!$J$2:$J$500,0)),"")</f>
        <v/>
      </c>
      <c r="E63" s="1"/>
      <c r="F63" s="1"/>
      <c r="G63" s="1"/>
      <c r="H63" s="1"/>
    </row>
    <row r="64" spans="1:8" x14ac:dyDescent="0.25">
      <c r="A64" t="str">
        <f>IFERROR(INDEX('Orders &amp; Payments'!$A$2:$A$500,MATCH($E64,'Orders &amp; Payments'!$J$2:$J$500,0)),"")</f>
        <v/>
      </c>
      <c r="B64" t="str">
        <f>IFERROR(INDEX('Orders &amp; Payments'!$B$2:$B$500,MATCH($E64,'Orders &amp; Payments'!$J$2:$J$500,0)),"")</f>
        <v/>
      </c>
      <c r="C64" t="str">
        <f>IFERROR(INDEX('Orders &amp; Payments'!$I$2:$I$500,MATCH($E64,'Orders &amp; Payments'!$J$2:$J$500,0)),"")</f>
        <v/>
      </c>
      <c r="D64" t="str">
        <f>IFERROR(INDEX('Orders &amp; Payments'!$H$2:$H$500,MATCH($E64,'Orders &amp; Payments'!$J$2:$J$500,0)),"")</f>
        <v/>
      </c>
      <c r="E64" s="1"/>
      <c r="F64" s="1"/>
      <c r="G64" s="1"/>
      <c r="H64" s="1"/>
    </row>
    <row r="65" spans="1:8" x14ac:dyDescent="0.25">
      <c r="A65" t="str">
        <f>IFERROR(INDEX('Orders &amp; Payments'!$A$2:$A$500,MATCH($E65,'Orders &amp; Payments'!$J$2:$J$500,0)),"")</f>
        <v/>
      </c>
      <c r="B65" t="str">
        <f>IFERROR(INDEX('Orders &amp; Payments'!$B$2:$B$500,MATCH($E65,'Orders &amp; Payments'!$J$2:$J$500,0)),"")</f>
        <v/>
      </c>
      <c r="C65" t="str">
        <f>IFERROR(INDEX('Orders &amp; Payments'!$I$2:$I$500,MATCH($E65,'Orders &amp; Payments'!$J$2:$J$500,0)),"")</f>
        <v/>
      </c>
      <c r="D65" t="str">
        <f>IFERROR(INDEX('Orders &amp; Payments'!$H$2:$H$500,MATCH($E65,'Orders &amp; Payments'!$J$2:$J$500,0)),"")</f>
        <v/>
      </c>
      <c r="E65" s="1"/>
      <c r="F65" s="1"/>
      <c r="G65" s="1"/>
      <c r="H65" s="1"/>
    </row>
    <row r="66" spans="1:8" x14ac:dyDescent="0.25">
      <c r="A66" t="str">
        <f>IFERROR(INDEX('Orders &amp; Payments'!$A$2:$A$500,MATCH($E66,'Orders &amp; Payments'!$J$2:$J$500,0)),"")</f>
        <v/>
      </c>
      <c r="B66" t="str">
        <f>IFERROR(INDEX('Orders &amp; Payments'!$B$2:$B$500,MATCH($E66,'Orders &amp; Payments'!$J$2:$J$500,0)),"")</f>
        <v/>
      </c>
      <c r="C66" t="str">
        <f>IFERROR(INDEX('Orders &amp; Payments'!$I$2:$I$500,MATCH($E66,'Orders &amp; Payments'!$J$2:$J$500,0)),"")</f>
        <v/>
      </c>
      <c r="D66" t="str">
        <f>IFERROR(INDEX('Orders &amp; Payments'!$H$2:$H$500,MATCH($E66,'Orders &amp; Payments'!$J$2:$J$500,0)),"")</f>
        <v/>
      </c>
      <c r="E66" s="1"/>
      <c r="F66" s="1"/>
      <c r="G66" s="1"/>
      <c r="H66" s="1"/>
    </row>
    <row r="67" spans="1:8" x14ac:dyDescent="0.25">
      <c r="A67" t="str">
        <f>IFERROR(INDEX('Orders &amp; Payments'!$A$2:$A$500,MATCH($E67,'Orders &amp; Payments'!$J$2:$J$500,0)),"")</f>
        <v/>
      </c>
      <c r="B67" t="str">
        <f>IFERROR(INDEX('Orders &amp; Payments'!$B$2:$B$500,MATCH($E67,'Orders &amp; Payments'!$J$2:$J$500,0)),"")</f>
        <v/>
      </c>
      <c r="C67" t="str">
        <f>IFERROR(INDEX('Orders &amp; Payments'!$I$2:$I$500,MATCH($E67,'Orders &amp; Payments'!$J$2:$J$500,0)),"")</f>
        <v/>
      </c>
      <c r="D67" t="str">
        <f>IFERROR(INDEX('Orders &amp; Payments'!$H$2:$H$500,MATCH($E67,'Orders &amp; Payments'!$J$2:$J$500,0)),"")</f>
        <v/>
      </c>
      <c r="E67" s="1"/>
      <c r="F67" s="1"/>
      <c r="G67" s="1"/>
      <c r="H67" s="1"/>
    </row>
    <row r="68" spans="1:8" x14ac:dyDescent="0.25">
      <c r="A68" t="str">
        <f>IFERROR(INDEX('Orders &amp; Payments'!$A$2:$A$500,MATCH($E68,'Orders &amp; Payments'!$J$2:$J$500,0)),"")</f>
        <v/>
      </c>
      <c r="B68" t="str">
        <f>IFERROR(INDEX('Orders &amp; Payments'!$B$2:$B$500,MATCH($E68,'Orders &amp; Payments'!$J$2:$J$500,0)),"")</f>
        <v/>
      </c>
      <c r="C68" t="str">
        <f>IFERROR(INDEX('Orders &amp; Payments'!$I$2:$I$500,MATCH($E68,'Orders &amp; Payments'!$J$2:$J$500,0)),"")</f>
        <v/>
      </c>
      <c r="D68" t="str">
        <f>IFERROR(INDEX('Orders &amp; Payments'!$H$2:$H$500,MATCH($E68,'Orders &amp; Payments'!$J$2:$J$500,0)),"")</f>
        <v/>
      </c>
      <c r="E68" s="1"/>
      <c r="F68" s="1"/>
      <c r="G68" s="1"/>
      <c r="H68" s="1"/>
    </row>
    <row r="69" spans="1:8" x14ac:dyDescent="0.25">
      <c r="A69" t="str">
        <f>IFERROR(INDEX('Orders &amp; Payments'!$A$2:$A$500,MATCH($E69,'Orders &amp; Payments'!$J$2:$J$500,0)),"")</f>
        <v/>
      </c>
      <c r="B69" t="str">
        <f>IFERROR(INDEX('Orders &amp; Payments'!$B$2:$B$500,MATCH($E69,'Orders &amp; Payments'!$J$2:$J$500,0)),"")</f>
        <v/>
      </c>
      <c r="C69" t="str">
        <f>IFERROR(INDEX('Orders &amp; Payments'!$I$2:$I$500,MATCH($E69,'Orders &amp; Payments'!$J$2:$J$500,0)),"")</f>
        <v/>
      </c>
      <c r="D69" t="str">
        <f>IFERROR(INDEX('Orders &amp; Payments'!$H$2:$H$500,MATCH($E69,'Orders &amp; Payments'!$J$2:$J$500,0)),"")</f>
        <v/>
      </c>
      <c r="E69" s="1"/>
      <c r="F69" s="1"/>
      <c r="G69" s="1"/>
      <c r="H69" s="1"/>
    </row>
    <row r="70" spans="1:8" x14ac:dyDescent="0.25">
      <c r="A70" t="str">
        <f>IFERROR(INDEX('Orders &amp; Payments'!$A$2:$A$500,MATCH($E70,'Orders &amp; Payments'!$J$2:$J$500,0)),"")</f>
        <v/>
      </c>
      <c r="B70" t="str">
        <f>IFERROR(INDEX('Orders &amp; Payments'!$B$2:$B$500,MATCH($E70,'Orders &amp; Payments'!$J$2:$J$500,0)),"")</f>
        <v/>
      </c>
      <c r="C70" t="str">
        <f>IFERROR(INDEX('Orders &amp; Payments'!$I$2:$I$500,MATCH($E70,'Orders &amp; Payments'!$J$2:$J$500,0)),"")</f>
        <v/>
      </c>
      <c r="D70" t="str">
        <f>IFERROR(INDEX('Orders &amp; Payments'!$H$2:$H$500,MATCH($E70,'Orders &amp; Payments'!$J$2:$J$500,0)),"")</f>
        <v/>
      </c>
      <c r="E70" s="1"/>
      <c r="F70" s="1"/>
      <c r="G70" s="1"/>
      <c r="H70" s="1"/>
    </row>
    <row r="71" spans="1:8" x14ac:dyDescent="0.25">
      <c r="A71" t="str">
        <f>IFERROR(INDEX('Orders &amp; Payments'!$A$2:$A$500,MATCH($E71,'Orders &amp; Payments'!$J$2:$J$500,0)),"")</f>
        <v/>
      </c>
      <c r="B71" t="str">
        <f>IFERROR(INDEX('Orders &amp; Payments'!$B$2:$B$500,MATCH($E71,'Orders &amp; Payments'!$J$2:$J$500,0)),"")</f>
        <v/>
      </c>
      <c r="C71" t="str">
        <f>IFERROR(INDEX('Orders &amp; Payments'!$I$2:$I$500,MATCH($E71,'Orders &amp; Payments'!$J$2:$J$500,0)),"")</f>
        <v/>
      </c>
      <c r="D71" t="str">
        <f>IFERROR(INDEX('Orders &amp; Payments'!$H$2:$H$500,MATCH($E71,'Orders &amp; Payments'!$J$2:$J$500,0)),"")</f>
        <v/>
      </c>
      <c r="E71" s="1"/>
      <c r="F71" s="1"/>
      <c r="G71" s="1"/>
      <c r="H71" s="1"/>
    </row>
    <row r="72" spans="1:8" x14ac:dyDescent="0.25">
      <c r="A72" t="str">
        <f>IFERROR(INDEX('Orders &amp; Payments'!$A$2:$A$500,MATCH($E72,'Orders &amp; Payments'!$J$2:$J$500,0)),"")</f>
        <v/>
      </c>
      <c r="B72" t="str">
        <f>IFERROR(INDEX('Orders &amp; Payments'!$B$2:$B$500,MATCH($E72,'Orders &amp; Payments'!$J$2:$J$500,0)),"")</f>
        <v/>
      </c>
      <c r="C72" t="str">
        <f>IFERROR(INDEX('Orders &amp; Payments'!$I$2:$I$500,MATCH($E72,'Orders &amp; Payments'!$J$2:$J$500,0)),"")</f>
        <v/>
      </c>
      <c r="D72" t="str">
        <f>IFERROR(INDEX('Orders &amp; Payments'!$H$2:$H$500,MATCH($E72,'Orders &amp; Payments'!$J$2:$J$500,0)),"")</f>
        <v/>
      </c>
      <c r="E72" s="1"/>
      <c r="F72" s="1"/>
      <c r="G72" s="1"/>
      <c r="H72" s="1"/>
    </row>
    <row r="73" spans="1:8" x14ac:dyDescent="0.25">
      <c r="A73" t="str">
        <f>IFERROR(INDEX('Orders &amp; Payments'!$A$2:$A$500,MATCH($E73,'Orders &amp; Payments'!$J$2:$J$500,0)),"")</f>
        <v/>
      </c>
      <c r="B73" t="str">
        <f>IFERROR(INDEX('Orders &amp; Payments'!$B$2:$B$500,MATCH($E73,'Orders &amp; Payments'!$J$2:$J$500,0)),"")</f>
        <v/>
      </c>
      <c r="C73" t="str">
        <f>IFERROR(INDEX('Orders &amp; Payments'!$I$2:$I$500,MATCH($E73,'Orders &amp; Payments'!$J$2:$J$500,0)),"")</f>
        <v/>
      </c>
      <c r="D73" t="str">
        <f>IFERROR(INDEX('Orders &amp; Payments'!$H$2:$H$500,MATCH($E73,'Orders &amp; Payments'!$J$2:$J$500,0)),"")</f>
        <v/>
      </c>
      <c r="E73" s="1"/>
      <c r="F73" s="1"/>
      <c r="G73" s="1"/>
      <c r="H73" s="1"/>
    </row>
    <row r="74" spans="1:8" x14ac:dyDescent="0.25">
      <c r="A74" t="str">
        <f>IFERROR(INDEX('Orders &amp; Payments'!$A$2:$A$500,MATCH($E74,'Orders &amp; Payments'!$J$2:$J$500,0)),"")</f>
        <v/>
      </c>
      <c r="B74" t="str">
        <f>IFERROR(INDEX('Orders &amp; Payments'!$B$2:$B$500,MATCH($E74,'Orders &amp; Payments'!$J$2:$J$500,0)),"")</f>
        <v/>
      </c>
      <c r="C74" t="str">
        <f>IFERROR(INDEX('Orders &amp; Payments'!$I$2:$I$500,MATCH($E74,'Orders &amp; Payments'!$J$2:$J$500,0)),"")</f>
        <v/>
      </c>
      <c r="D74" t="str">
        <f>IFERROR(INDEX('Orders &amp; Payments'!$H$2:$H$500,MATCH($E74,'Orders &amp; Payments'!$J$2:$J$500,0)),"")</f>
        <v/>
      </c>
      <c r="E74" s="1"/>
      <c r="F74" s="1"/>
      <c r="G74" s="1"/>
      <c r="H74" s="1"/>
    </row>
    <row r="75" spans="1:8" x14ac:dyDescent="0.25">
      <c r="A75" t="str">
        <f>IFERROR(INDEX('Orders &amp; Payments'!$A$2:$A$500,MATCH($E75,'Orders &amp; Payments'!$J$2:$J$500,0)),"")</f>
        <v/>
      </c>
      <c r="B75" t="str">
        <f>IFERROR(INDEX('Orders &amp; Payments'!$B$2:$B$500,MATCH($E75,'Orders &amp; Payments'!$J$2:$J$500,0)),"")</f>
        <v/>
      </c>
      <c r="C75" t="str">
        <f>IFERROR(INDEX('Orders &amp; Payments'!$I$2:$I$500,MATCH($E75,'Orders &amp; Payments'!$J$2:$J$500,0)),"")</f>
        <v/>
      </c>
      <c r="D75" t="str">
        <f>IFERROR(INDEX('Orders &amp; Payments'!$H$2:$H$500,MATCH($E75,'Orders &amp; Payments'!$J$2:$J$500,0)),"")</f>
        <v/>
      </c>
      <c r="E75" s="1"/>
      <c r="F75" s="1"/>
      <c r="G75" s="1"/>
      <c r="H75" s="1"/>
    </row>
    <row r="76" spans="1:8" x14ac:dyDescent="0.25">
      <c r="A76" t="str">
        <f>IFERROR(INDEX('Orders &amp; Payments'!$A$2:$A$500,MATCH($E76,'Orders &amp; Payments'!$J$2:$J$500,0)),"")</f>
        <v/>
      </c>
      <c r="B76" t="str">
        <f>IFERROR(INDEX('Orders &amp; Payments'!$B$2:$B$500,MATCH($E76,'Orders &amp; Payments'!$J$2:$J$500,0)),"")</f>
        <v/>
      </c>
      <c r="C76" t="str">
        <f>IFERROR(INDEX('Orders &amp; Payments'!$I$2:$I$500,MATCH($E76,'Orders &amp; Payments'!$J$2:$J$500,0)),"")</f>
        <v/>
      </c>
      <c r="D76" t="str">
        <f>IFERROR(INDEX('Orders &amp; Payments'!$H$2:$H$500,MATCH($E76,'Orders &amp; Payments'!$J$2:$J$500,0)),"")</f>
        <v/>
      </c>
      <c r="E76" s="1"/>
      <c r="F76" s="1"/>
      <c r="G76" s="1"/>
      <c r="H76" s="1"/>
    </row>
    <row r="77" spans="1:8" x14ac:dyDescent="0.25">
      <c r="A77" t="str">
        <f>IFERROR(INDEX('Orders &amp; Payments'!$A$2:$A$500,MATCH($E77,'Orders &amp; Payments'!$J$2:$J$500,0)),"")</f>
        <v/>
      </c>
      <c r="B77" t="str">
        <f>IFERROR(INDEX('Orders &amp; Payments'!$B$2:$B$500,MATCH($E77,'Orders &amp; Payments'!$J$2:$J$500,0)),"")</f>
        <v/>
      </c>
      <c r="C77" t="str">
        <f>IFERROR(INDEX('Orders &amp; Payments'!$I$2:$I$500,MATCH($E77,'Orders &amp; Payments'!$J$2:$J$500,0)),"")</f>
        <v/>
      </c>
      <c r="D77" t="str">
        <f>IFERROR(INDEX('Orders &amp; Payments'!$H$2:$H$500,MATCH($E77,'Orders &amp; Payments'!$J$2:$J$500,0)),"")</f>
        <v/>
      </c>
      <c r="E77" s="1"/>
      <c r="F77" s="1"/>
      <c r="G77" s="1"/>
      <c r="H77" s="1"/>
    </row>
    <row r="78" spans="1:8" x14ac:dyDescent="0.25">
      <c r="A78" t="str">
        <f>IFERROR(INDEX('Orders &amp; Payments'!$A$2:$A$500,MATCH($E78,'Orders &amp; Payments'!$J$2:$J$500,0)),"")</f>
        <v/>
      </c>
      <c r="B78" t="str">
        <f>IFERROR(INDEX('Orders &amp; Payments'!$B$2:$B$500,MATCH($E78,'Orders &amp; Payments'!$J$2:$J$500,0)),"")</f>
        <v/>
      </c>
      <c r="C78" t="str">
        <f>IFERROR(INDEX('Orders &amp; Payments'!$I$2:$I$500,MATCH($E78,'Orders &amp; Payments'!$J$2:$J$500,0)),"")</f>
        <v/>
      </c>
      <c r="D78" t="str">
        <f>IFERROR(INDEX('Orders &amp; Payments'!$H$2:$H$500,MATCH($E78,'Orders &amp; Payments'!$J$2:$J$500,0)),"")</f>
        <v/>
      </c>
      <c r="E78" s="1"/>
      <c r="F78" s="1"/>
      <c r="G78" s="1"/>
      <c r="H78" s="1"/>
    </row>
    <row r="79" spans="1:8" x14ac:dyDescent="0.25">
      <c r="A79" t="str">
        <f>IFERROR(INDEX('Orders &amp; Payments'!$A$2:$A$500,MATCH($E79,'Orders &amp; Payments'!$J$2:$J$500,0)),"")</f>
        <v/>
      </c>
      <c r="B79" t="str">
        <f>IFERROR(INDEX('Orders &amp; Payments'!$B$2:$B$500,MATCH($E79,'Orders &amp; Payments'!$J$2:$J$500,0)),"")</f>
        <v/>
      </c>
      <c r="C79" t="str">
        <f>IFERROR(INDEX('Orders &amp; Payments'!$I$2:$I$500,MATCH($E79,'Orders &amp; Payments'!$J$2:$J$500,0)),"")</f>
        <v/>
      </c>
      <c r="D79" t="str">
        <f>IFERROR(INDEX('Orders &amp; Payments'!$H$2:$H$500,MATCH($E79,'Orders &amp; Payments'!$J$2:$J$500,0)),"")</f>
        <v/>
      </c>
      <c r="E79" s="1"/>
      <c r="F79" s="1"/>
      <c r="G79" s="1"/>
      <c r="H79" s="1"/>
    </row>
    <row r="80" spans="1:8" x14ac:dyDescent="0.25">
      <c r="A80" t="str">
        <f>IFERROR(INDEX('Orders &amp; Payments'!$A$2:$A$500,MATCH($E80,'Orders &amp; Payments'!$J$2:$J$500,0)),"")</f>
        <v/>
      </c>
      <c r="B80" t="str">
        <f>IFERROR(INDEX('Orders &amp; Payments'!$B$2:$B$500,MATCH($E80,'Orders &amp; Payments'!$J$2:$J$500,0)),"")</f>
        <v/>
      </c>
      <c r="C80" t="str">
        <f>IFERROR(INDEX('Orders &amp; Payments'!$I$2:$I$500,MATCH($E80,'Orders &amp; Payments'!$J$2:$J$500,0)),"")</f>
        <v/>
      </c>
      <c r="D80" t="str">
        <f>IFERROR(INDEX('Orders &amp; Payments'!$H$2:$H$500,MATCH($E80,'Orders &amp; Payments'!$J$2:$J$500,0)),"")</f>
        <v/>
      </c>
      <c r="E80" s="1"/>
      <c r="F80" s="1"/>
      <c r="G80" s="1"/>
      <c r="H80" s="1"/>
    </row>
    <row r="81" spans="1:8" x14ac:dyDescent="0.25">
      <c r="A81" t="str">
        <f>IFERROR(INDEX('Orders &amp; Payments'!$A$2:$A$500,MATCH($E81,'Orders &amp; Payments'!$J$2:$J$500,0)),"")</f>
        <v/>
      </c>
      <c r="B81" t="str">
        <f>IFERROR(INDEX('Orders &amp; Payments'!$B$2:$B$500,MATCH($E81,'Orders &amp; Payments'!$J$2:$J$500,0)),"")</f>
        <v/>
      </c>
      <c r="C81" t="str">
        <f>IFERROR(INDEX('Orders &amp; Payments'!$I$2:$I$500,MATCH($E81,'Orders &amp; Payments'!$J$2:$J$500,0)),"")</f>
        <v/>
      </c>
      <c r="D81" t="str">
        <f>IFERROR(INDEX('Orders &amp; Payments'!$H$2:$H$500,MATCH($E81,'Orders &amp; Payments'!$J$2:$J$500,0)),"")</f>
        <v/>
      </c>
      <c r="E81" s="1"/>
      <c r="F81" s="1"/>
      <c r="G81" s="1"/>
      <c r="H81" s="1"/>
    </row>
    <row r="82" spans="1:8" x14ac:dyDescent="0.25">
      <c r="A82" t="str">
        <f>IFERROR(INDEX('Orders &amp; Payments'!$A$2:$A$500,MATCH($E82,'Orders &amp; Payments'!$J$2:$J$500,0)),"")</f>
        <v/>
      </c>
      <c r="B82" t="str">
        <f>IFERROR(INDEX('Orders &amp; Payments'!$B$2:$B$500,MATCH($E82,'Orders &amp; Payments'!$J$2:$J$500,0)),"")</f>
        <v/>
      </c>
      <c r="C82" t="str">
        <f>IFERROR(INDEX('Orders &amp; Payments'!$I$2:$I$500,MATCH($E82,'Orders &amp; Payments'!$J$2:$J$500,0)),"")</f>
        <v/>
      </c>
      <c r="D82" t="str">
        <f>IFERROR(INDEX('Orders &amp; Payments'!$H$2:$H$500,MATCH($E82,'Orders &amp; Payments'!$J$2:$J$500,0)),"")</f>
        <v/>
      </c>
      <c r="E82" s="1"/>
      <c r="F82" s="1"/>
      <c r="G82" s="1"/>
      <c r="H82" s="1"/>
    </row>
    <row r="83" spans="1:8" x14ac:dyDescent="0.25">
      <c r="A83" t="str">
        <f>IFERROR(INDEX('Orders &amp; Payments'!$A$2:$A$500,MATCH($E83,'Orders &amp; Payments'!$J$2:$J$500,0)),"")</f>
        <v/>
      </c>
      <c r="B83" t="str">
        <f>IFERROR(INDEX('Orders &amp; Payments'!$B$2:$B$500,MATCH($E83,'Orders &amp; Payments'!$J$2:$J$500,0)),"")</f>
        <v/>
      </c>
      <c r="C83" t="str">
        <f>IFERROR(INDEX('Orders &amp; Payments'!$I$2:$I$500,MATCH($E83,'Orders &amp; Payments'!$J$2:$J$500,0)),"")</f>
        <v/>
      </c>
      <c r="D83" t="str">
        <f>IFERROR(INDEX('Orders &amp; Payments'!$H$2:$H$500,MATCH($E83,'Orders &amp; Payments'!$J$2:$J$500,0)),"")</f>
        <v/>
      </c>
      <c r="E83" s="1"/>
      <c r="F83" s="1"/>
      <c r="G83" s="1"/>
      <c r="H83" s="1"/>
    </row>
    <row r="84" spans="1:8" x14ac:dyDescent="0.25">
      <c r="A84" t="str">
        <f>IFERROR(INDEX('Orders &amp; Payments'!$A$2:$A$500,MATCH($E84,'Orders &amp; Payments'!$J$2:$J$500,0)),"")</f>
        <v/>
      </c>
      <c r="B84" t="str">
        <f>IFERROR(INDEX('Orders &amp; Payments'!$B$2:$B$500,MATCH($E84,'Orders &amp; Payments'!$J$2:$J$500,0)),"")</f>
        <v/>
      </c>
      <c r="C84" t="str">
        <f>IFERROR(INDEX('Orders &amp; Payments'!$I$2:$I$500,MATCH($E84,'Orders &amp; Payments'!$J$2:$J$500,0)),"")</f>
        <v/>
      </c>
      <c r="D84" t="str">
        <f>IFERROR(INDEX('Orders &amp; Payments'!$H$2:$H$500,MATCH($E84,'Orders &amp; Payments'!$J$2:$J$500,0)),"")</f>
        <v/>
      </c>
      <c r="E84" s="1"/>
      <c r="F84" s="1"/>
      <c r="G84" s="1"/>
      <c r="H84" s="1"/>
    </row>
    <row r="85" spans="1:8" x14ac:dyDescent="0.25">
      <c r="A85" t="str">
        <f>IFERROR(INDEX('Orders &amp; Payments'!$A$2:$A$500,MATCH($E85,'Orders &amp; Payments'!$J$2:$J$500,0)),"")</f>
        <v/>
      </c>
      <c r="B85" t="str">
        <f>IFERROR(INDEX('Orders &amp; Payments'!$B$2:$B$500,MATCH($E85,'Orders &amp; Payments'!$J$2:$J$500,0)),"")</f>
        <v/>
      </c>
      <c r="C85" t="str">
        <f>IFERROR(INDEX('Orders &amp; Payments'!$I$2:$I$500,MATCH($E85,'Orders &amp; Payments'!$J$2:$J$500,0)),"")</f>
        <v/>
      </c>
      <c r="D85" t="str">
        <f>IFERROR(INDEX('Orders &amp; Payments'!$H$2:$H$500,MATCH($E85,'Orders &amp; Payments'!$J$2:$J$500,0)),"")</f>
        <v/>
      </c>
      <c r="E85" s="1"/>
      <c r="F85" s="1"/>
      <c r="G85" s="1"/>
      <c r="H85" s="1"/>
    </row>
    <row r="86" spans="1:8" x14ac:dyDescent="0.25">
      <c r="A86" t="str">
        <f>IFERROR(INDEX('Orders &amp; Payments'!$A$2:$A$500,MATCH($E86,'Orders &amp; Payments'!$J$2:$J$500,0)),"")</f>
        <v/>
      </c>
      <c r="B86" t="str">
        <f>IFERROR(INDEX('Orders &amp; Payments'!$B$2:$B$500,MATCH($E86,'Orders &amp; Payments'!$J$2:$J$500,0)),"")</f>
        <v/>
      </c>
      <c r="C86" t="str">
        <f>IFERROR(INDEX('Orders &amp; Payments'!$I$2:$I$500,MATCH($E86,'Orders &amp; Payments'!$J$2:$J$500,0)),"")</f>
        <v/>
      </c>
      <c r="D86" t="str">
        <f>IFERROR(INDEX('Orders &amp; Payments'!$H$2:$H$500,MATCH($E86,'Orders &amp; Payments'!$J$2:$J$500,0)),"")</f>
        <v/>
      </c>
      <c r="E86" s="1"/>
      <c r="F86" s="1"/>
      <c r="G86" s="1"/>
      <c r="H86" s="1"/>
    </row>
    <row r="87" spans="1:8" x14ac:dyDescent="0.25">
      <c r="A87" t="str">
        <f>IFERROR(INDEX('Orders &amp; Payments'!$A$2:$A$500,MATCH($E87,'Orders &amp; Payments'!$J$2:$J$500,0)),"")</f>
        <v/>
      </c>
      <c r="B87" t="str">
        <f>IFERROR(INDEX('Orders &amp; Payments'!$B$2:$B$500,MATCH($E87,'Orders &amp; Payments'!$J$2:$J$500,0)),"")</f>
        <v/>
      </c>
      <c r="C87" t="str">
        <f>IFERROR(INDEX('Orders &amp; Payments'!$I$2:$I$500,MATCH($E87,'Orders &amp; Payments'!$J$2:$J$500,0)),"")</f>
        <v/>
      </c>
      <c r="D87" t="str">
        <f>IFERROR(INDEX('Orders &amp; Payments'!$H$2:$H$500,MATCH($E87,'Orders &amp; Payments'!$J$2:$J$500,0)),"")</f>
        <v/>
      </c>
      <c r="E87" s="1"/>
      <c r="F87" s="1"/>
      <c r="G87" s="1"/>
      <c r="H87" s="1"/>
    </row>
    <row r="88" spans="1:8" x14ac:dyDescent="0.25">
      <c r="A88" t="str">
        <f>IFERROR(INDEX('Orders &amp; Payments'!$A$2:$A$500,MATCH($E88,'Orders &amp; Payments'!$J$2:$J$500,0)),"")</f>
        <v/>
      </c>
      <c r="B88" t="str">
        <f>IFERROR(INDEX('Orders &amp; Payments'!$B$2:$B$500,MATCH($E88,'Orders &amp; Payments'!$J$2:$J$500,0)),"")</f>
        <v/>
      </c>
      <c r="C88" t="str">
        <f>IFERROR(INDEX('Orders &amp; Payments'!$I$2:$I$500,MATCH($E88,'Orders &amp; Payments'!$J$2:$J$500,0)),"")</f>
        <v/>
      </c>
      <c r="D88" t="str">
        <f>IFERROR(INDEX('Orders &amp; Payments'!$H$2:$H$500,MATCH($E88,'Orders &amp; Payments'!$J$2:$J$500,0)),"")</f>
        <v/>
      </c>
      <c r="E88" s="1"/>
      <c r="F88" s="1"/>
      <c r="G88" s="1"/>
      <c r="H88" s="1"/>
    </row>
    <row r="89" spans="1:8" x14ac:dyDescent="0.25">
      <c r="A89" t="str">
        <f>IFERROR(INDEX('Orders &amp; Payments'!$A$2:$A$500,MATCH($E89,'Orders &amp; Payments'!$J$2:$J$500,0)),"")</f>
        <v/>
      </c>
      <c r="B89" t="str">
        <f>IFERROR(INDEX('Orders &amp; Payments'!$B$2:$B$500,MATCH($E89,'Orders &amp; Payments'!$J$2:$J$500,0)),"")</f>
        <v/>
      </c>
      <c r="C89" t="str">
        <f>IFERROR(INDEX('Orders &amp; Payments'!$I$2:$I$500,MATCH($E89,'Orders &amp; Payments'!$J$2:$J$500,0)),"")</f>
        <v/>
      </c>
      <c r="D89" t="str">
        <f>IFERROR(INDEX('Orders &amp; Payments'!$H$2:$H$500,MATCH($E89,'Orders &amp; Payments'!$J$2:$J$500,0)),"")</f>
        <v/>
      </c>
      <c r="E89" s="1"/>
      <c r="F89" s="1"/>
      <c r="G89" s="1"/>
      <c r="H89" s="1"/>
    </row>
    <row r="90" spans="1:8" x14ac:dyDescent="0.25">
      <c r="A90" t="str">
        <f>IFERROR(INDEX('Orders &amp; Payments'!$A$2:$A$500,MATCH($E90,'Orders &amp; Payments'!$J$2:$J$500,0)),"")</f>
        <v/>
      </c>
      <c r="B90" t="str">
        <f>IFERROR(INDEX('Orders &amp; Payments'!$B$2:$B$500,MATCH($E90,'Orders &amp; Payments'!$J$2:$J$500,0)),"")</f>
        <v/>
      </c>
      <c r="C90" t="str">
        <f>IFERROR(INDEX('Orders &amp; Payments'!$I$2:$I$500,MATCH($E90,'Orders &amp; Payments'!$J$2:$J$500,0)),"")</f>
        <v/>
      </c>
      <c r="D90" t="str">
        <f>IFERROR(INDEX('Orders &amp; Payments'!$H$2:$H$500,MATCH($E90,'Orders &amp; Payments'!$J$2:$J$500,0)),"")</f>
        <v/>
      </c>
      <c r="E90" s="1"/>
      <c r="F90" s="1"/>
      <c r="G90" s="1"/>
      <c r="H90" s="1"/>
    </row>
    <row r="91" spans="1:8" x14ac:dyDescent="0.25">
      <c r="A91" t="str">
        <f>IFERROR(INDEX('Orders &amp; Payments'!$A$2:$A$500,MATCH($E91,'Orders &amp; Payments'!$J$2:$J$500,0)),"")</f>
        <v/>
      </c>
      <c r="B91" t="str">
        <f>IFERROR(INDEX('Orders &amp; Payments'!$B$2:$B$500,MATCH($E91,'Orders &amp; Payments'!$J$2:$J$500,0)),"")</f>
        <v/>
      </c>
      <c r="C91" t="str">
        <f>IFERROR(INDEX('Orders &amp; Payments'!$I$2:$I$500,MATCH($E91,'Orders &amp; Payments'!$J$2:$J$500,0)),"")</f>
        <v/>
      </c>
      <c r="D91" t="str">
        <f>IFERROR(INDEX('Orders &amp; Payments'!$H$2:$H$500,MATCH($E91,'Orders &amp; Payments'!$J$2:$J$500,0)),"")</f>
        <v/>
      </c>
      <c r="E91" s="1"/>
      <c r="F91" s="1"/>
      <c r="G91" s="1"/>
      <c r="H91" s="1"/>
    </row>
    <row r="92" spans="1:8" x14ac:dyDescent="0.25">
      <c r="A92" t="str">
        <f>IFERROR(INDEX('Orders &amp; Payments'!$A$2:$A$500,MATCH($E92,'Orders &amp; Payments'!$J$2:$J$500,0)),"")</f>
        <v/>
      </c>
      <c r="B92" t="str">
        <f>IFERROR(INDEX('Orders &amp; Payments'!$B$2:$B$500,MATCH($E92,'Orders &amp; Payments'!$J$2:$J$500,0)),"")</f>
        <v/>
      </c>
      <c r="C92" t="str">
        <f>IFERROR(INDEX('Orders &amp; Payments'!$I$2:$I$500,MATCH($E92,'Orders &amp; Payments'!$J$2:$J$500,0)),"")</f>
        <v/>
      </c>
      <c r="D92" t="str">
        <f>IFERROR(INDEX('Orders &amp; Payments'!$H$2:$H$500,MATCH($E92,'Orders &amp; Payments'!$J$2:$J$500,0)),"")</f>
        <v/>
      </c>
      <c r="E92" s="1"/>
      <c r="F92" s="1"/>
      <c r="G92" s="1"/>
      <c r="H92" s="1"/>
    </row>
    <row r="93" spans="1:8" x14ac:dyDescent="0.25">
      <c r="A93" t="str">
        <f>IFERROR(INDEX('Orders &amp; Payments'!$A$2:$A$500,MATCH($E93,'Orders &amp; Payments'!$J$2:$J$500,0)),"")</f>
        <v/>
      </c>
      <c r="B93" t="str">
        <f>IFERROR(INDEX('Orders &amp; Payments'!$B$2:$B$500,MATCH($E93,'Orders &amp; Payments'!$J$2:$J$500,0)),"")</f>
        <v/>
      </c>
      <c r="C93" t="str">
        <f>IFERROR(INDEX('Orders &amp; Payments'!$I$2:$I$500,MATCH($E93,'Orders &amp; Payments'!$J$2:$J$500,0)),"")</f>
        <v/>
      </c>
      <c r="D93" t="str">
        <f>IFERROR(INDEX('Orders &amp; Payments'!$H$2:$H$500,MATCH($E93,'Orders &amp; Payments'!$J$2:$J$500,0)),"")</f>
        <v/>
      </c>
      <c r="E93" s="1"/>
      <c r="F93" s="1"/>
      <c r="G93" s="1"/>
      <c r="H93" s="1"/>
    </row>
    <row r="94" spans="1:8" x14ac:dyDescent="0.25">
      <c r="A94" t="str">
        <f>IFERROR(INDEX('Orders &amp; Payments'!$A$2:$A$500,MATCH($E94,'Orders &amp; Payments'!$J$2:$J$500,0)),"")</f>
        <v/>
      </c>
      <c r="B94" t="str">
        <f>IFERROR(INDEX('Orders &amp; Payments'!$B$2:$B$500,MATCH($E94,'Orders &amp; Payments'!$J$2:$J$500,0)),"")</f>
        <v/>
      </c>
      <c r="C94" t="str">
        <f>IFERROR(INDEX('Orders &amp; Payments'!$I$2:$I$500,MATCH($E94,'Orders &amp; Payments'!$J$2:$J$500,0)),"")</f>
        <v/>
      </c>
      <c r="D94" t="str">
        <f>IFERROR(INDEX('Orders &amp; Payments'!$H$2:$H$500,MATCH($E94,'Orders &amp; Payments'!$J$2:$J$500,0)),"")</f>
        <v/>
      </c>
      <c r="E94" s="1"/>
      <c r="F94" s="1"/>
      <c r="G94" s="1"/>
      <c r="H94" s="1"/>
    </row>
    <row r="95" spans="1:8" x14ac:dyDescent="0.25">
      <c r="A95" t="str">
        <f>IFERROR(INDEX('Orders &amp; Payments'!$A$2:$A$500,MATCH($E95,'Orders &amp; Payments'!$J$2:$J$500,0)),"")</f>
        <v/>
      </c>
      <c r="B95" t="str">
        <f>IFERROR(INDEX('Orders &amp; Payments'!$B$2:$B$500,MATCH($E95,'Orders &amp; Payments'!$J$2:$J$500,0)),"")</f>
        <v/>
      </c>
      <c r="C95" t="str">
        <f>IFERROR(INDEX('Orders &amp; Payments'!$I$2:$I$500,MATCH($E95,'Orders &amp; Payments'!$J$2:$J$500,0)),"")</f>
        <v/>
      </c>
      <c r="D95" t="str">
        <f>IFERROR(INDEX('Orders &amp; Payments'!$H$2:$H$500,MATCH($E95,'Orders &amp; Payments'!$J$2:$J$500,0)),"")</f>
        <v/>
      </c>
      <c r="E95" s="1"/>
      <c r="F95" s="1"/>
      <c r="G95" s="1"/>
      <c r="H95" s="1"/>
    </row>
    <row r="96" spans="1:8" x14ac:dyDescent="0.25">
      <c r="A96" t="str">
        <f>IFERROR(INDEX('Orders &amp; Payments'!$A$2:$A$500,MATCH($E96,'Orders &amp; Payments'!$J$2:$J$500,0)),"")</f>
        <v/>
      </c>
      <c r="B96" t="str">
        <f>IFERROR(INDEX('Orders &amp; Payments'!$B$2:$B$500,MATCH($E96,'Orders &amp; Payments'!$J$2:$J$500,0)),"")</f>
        <v/>
      </c>
      <c r="C96" t="str">
        <f>IFERROR(INDEX('Orders &amp; Payments'!$I$2:$I$500,MATCH($E96,'Orders &amp; Payments'!$J$2:$J$500,0)),"")</f>
        <v/>
      </c>
      <c r="D96" t="str">
        <f>IFERROR(INDEX('Orders &amp; Payments'!$H$2:$H$500,MATCH($E96,'Orders &amp; Payments'!$J$2:$J$500,0)),"")</f>
        <v/>
      </c>
      <c r="E96" s="1"/>
      <c r="F96" s="1"/>
      <c r="G96" s="1"/>
      <c r="H96" s="1"/>
    </row>
    <row r="97" spans="1:8" x14ac:dyDescent="0.25">
      <c r="A97" t="str">
        <f>IFERROR(INDEX('Orders &amp; Payments'!$A$2:$A$500,MATCH($E97,'Orders &amp; Payments'!$J$2:$J$500,0)),"")</f>
        <v/>
      </c>
      <c r="B97" t="str">
        <f>IFERROR(INDEX('Orders &amp; Payments'!$B$2:$B$500,MATCH($E97,'Orders &amp; Payments'!$J$2:$J$500,0)),"")</f>
        <v/>
      </c>
      <c r="C97" t="str">
        <f>IFERROR(INDEX('Orders &amp; Payments'!$I$2:$I$500,MATCH($E97,'Orders &amp; Payments'!$J$2:$J$500,0)),"")</f>
        <v/>
      </c>
      <c r="D97" t="str">
        <f>IFERROR(INDEX('Orders &amp; Payments'!$H$2:$H$500,MATCH($E97,'Orders &amp; Payments'!$J$2:$J$500,0)),"")</f>
        <v/>
      </c>
      <c r="E97" s="1"/>
      <c r="F97" s="1"/>
      <c r="G97" s="1"/>
      <c r="H97" s="1"/>
    </row>
    <row r="98" spans="1:8" x14ac:dyDescent="0.25">
      <c r="A98" t="str">
        <f>IFERROR(INDEX('Orders &amp; Payments'!$A$2:$A$500,MATCH($E98,'Orders &amp; Payments'!$J$2:$J$500,0)),"")</f>
        <v/>
      </c>
      <c r="B98" t="str">
        <f>IFERROR(INDEX('Orders &amp; Payments'!$B$2:$B$500,MATCH($E98,'Orders &amp; Payments'!$J$2:$J$500,0)),"")</f>
        <v/>
      </c>
      <c r="C98" t="str">
        <f>IFERROR(INDEX('Orders &amp; Payments'!$I$2:$I$500,MATCH($E98,'Orders &amp; Payments'!$J$2:$J$500,0)),"")</f>
        <v/>
      </c>
      <c r="D98" t="str">
        <f>IFERROR(INDEX('Orders &amp; Payments'!$H$2:$H$500,MATCH($E98,'Orders &amp; Payments'!$J$2:$J$500,0)),"")</f>
        <v/>
      </c>
      <c r="E98" s="1"/>
      <c r="F98" s="1"/>
      <c r="G98" s="1"/>
      <c r="H98" s="1"/>
    </row>
    <row r="99" spans="1:8" x14ac:dyDescent="0.25">
      <c r="A99" t="str">
        <f>IFERROR(INDEX('Orders &amp; Payments'!$A$2:$A$500,MATCH($E99,'Orders &amp; Payments'!$J$2:$J$500,0)),"")</f>
        <v/>
      </c>
      <c r="B99" t="str">
        <f>IFERROR(INDEX('Orders &amp; Payments'!$B$2:$B$500,MATCH($E99,'Orders &amp; Payments'!$J$2:$J$500,0)),"")</f>
        <v/>
      </c>
      <c r="C99" t="str">
        <f>IFERROR(INDEX('Orders &amp; Payments'!$I$2:$I$500,MATCH($E99,'Orders &amp; Payments'!$J$2:$J$500,0)),"")</f>
        <v/>
      </c>
      <c r="D99" t="str">
        <f>IFERROR(INDEX('Orders &amp; Payments'!$H$2:$H$500,MATCH($E99,'Orders &amp; Payments'!$J$2:$J$500,0)),"")</f>
        <v/>
      </c>
      <c r="E99" s="1"/>
      <c r="F99" s="1"/>
      <c r="G99" s="1"/>
      <c r="H99" s="1"/>
    </row>
    <row r="100" spans="1:8" x14ac:dyDescent="0.25">
      <c r="A100" t="str">
        <f>IFERROR(INDEX('Orders &amp; Payments'!$A$2:$A$500,MATCH($E100,'Orders &amp; Payments'!$J$2:$J$500,0)),"")</f>
        <v/>
      </c>
      <c r="B100" t="str">
        <f>IFERROR(INDEX('Orders &amp; Payments'!$B$2:$B$500,MATCH($E100,'Orders &amp; Payments'!$J$2:$J$500,0)),"")</f>
        <v/>
      </c>
      <c r="C100" t="str">
        <f>IFERROR(INDEX('Orders &amp; Payments'!$I$2:$I$500,MATCH($E100,'Orders &amp; Payments'!$J$2:$J$500,0)),"")</f>
        <v/>
      </c>
      <c r="D100" t="str">
        <f>IFERROR(INDEX('Orders &amp; Payments'!$H$2:$H$500,MATCH($E100,'Orders &amp; Payments'!$J$2:$J$500,0)),"")</f>
        <v/>
      </c>
      <c r="E100" s="1"/>
      <c r="F100" s="1"/>
      <c r="G100" s="1"/>
      <c r="H100" s="1"/>
    </row>
    <row r="101" spans="1:8" x14ac:dyDescent="0.25">
      <c r="A101" t="str">
        <f>IFERROR(INDEX('Orders &amp; Payments'!$A$2:$A$500,MATCH($E101,'Orders &amp; Payments'!$J$2:$J$500,0)),"")</f>
        <v/>
      </c>
      <c r="B101" t="str">
        <f>IFERROR(INDEX('Orders &amp; Payments'!$B$2:$B$500,MATCH($E101,'Orders &amp; Payments'!$J$2:$J$500,0)),"")</f>
        <v/>
      </c>
      <c r="C101" t="str">
        <f>IFERROR(INDEX('Orders &amp; Payments'!$I$2:$I$500,MATCH($E101,'Orders &amp; Payments'!$J$2:$J$500,0)),"")</f>
        <v/>
      </c>
      <c r="D101" t="str">
        <f>IFERROR(INDEX('Orders &amp; Payments'!$H$2:$H$500,MATCH($E101,'Orders &amp; Payments'!$J$2:$J$500,0)),"")</f>
        <v/>
      </c>
      <c r="E101" s="1"/>
      <c r="F101" s="1"/>
      <c r="G101" s="1"/>
      <c r="H101" s="1"/>
    </row>
    <row r="102" spans="1:8" x14ac:dyDescent="0.25">
      <c r="A102" t="str">
        <f>IFERROR(INDEX('Orders &amp; Payments'!$A$2:$A$500,MATCH($E102,'Orders &amp; Payments'!$J$2:$J$500,0)),"")</f>
        <v/>
      </c>
      <c r="B102" t="str">
        <f>IFERROR(INDEX('Orders &amp; Payments'!$B$2:$B$500,MATCH($E102,'Orders &amp; Payments'!$J$2:$J$500,0)),"")</f>
        <v/>
      </c>
      <c r="C102" t="str">
        <f>IFERROR(INDEX('Orders &amp; Payments'!$I$2:$I$500,MATCH($E102,'Orders &amp; Payments'!$J$2:$J$500,0)),"")</f>
        <v/>
      </c>
      <c r="D102" t="str">
        <f>IFERROR(INDEX('Orders &amp; Payments'!$H$2:$H$500,MATCH($E102,'Orders &amp; Payments'!$J$2:$J$500,0)),"")</f>
        <v/>
      </c>
      <c r="E102" s="1"/>
      <c r="F102" s="1"/>
      <c r="G102" s="1"/>
      <c r="H102" s="1"/>
    </row>
    <row r="103" spans="1:8" x14ac:dyDescent="0.25">
      <c r="A103" t="str">
        <f>IFERROR(INDEX('Orders &amp; Payments'!$A$2:$A$500,MATCH($E103,'Orders &amp; Payments'!$J$2:$J$500,0)),"")</f>
        <v/>
      </c>
      <c r="B103" t="str">
        <f>IFERROR(INDEX('Orders &amp; Payments'!$B$2:$B$500,MATCH($E103,'Orders &amp; Payments'!$J$2:$J$500,0)),"")</f>
        <v/>
      </c>
      <c r="C103" t="str">
        <f>IFERROR(INDEX('Orders &amp; Payments'!$I$2:$I$500,MATCH($E103,'Orders &amp; Payments'!$J$2:$J$500,0)),"")</f>
        <v/>
      </c>
      <c r="D103" t="str">
        <f>IFERROR(INDEX('Orders &amp; Payments'!$H$2:$H$500,MATCH($E103,'Orders &amp; Payments'!$J$2:$J$500,0)),"")</f>
        <v/>
      </c>
      <c r="E103" s="1"/>
      <c r="F103" s="1"/>
      <c r="G103" s="1"/>
      <c r="H103" s="1"/>
    </row>
    <row r="104" spans="1:8" x14ac:dyDescent="0.25">
      <c r="A104" t="str">
        <f>IFERROR(INDEX('Orders &amp; Payments'!$A$2:$A$500,MATCH($E104,'Orders &amp; Payments'!$J$2:$J$500,0)),"")</f>
        <v/>
      </c>
      <c r="B104" t="str">
        <f>IFERROR(INDEX('Orders &amp; Payments'!$B$2:$B$500,MATCH($E104,'Orders &amp; Payments'!$J$2:$J$500,0)),"")</f>
        <v/>
      </c>
      <c r="C104" t="str">
        <f>IFERROR(INDEX('Orders &amp; Payments'!$I$2:$I$500,MATCH($E104,'Orders &amp; Payments'!$J$2:$J$500,0)),"")</f>
        <v/>
      </c>
      <c r="D104" t="str">
        <f>IFERROR(INDEX('Orders &amp; Payments'!$H$2:$H$500,MATCH($E104,'Orders &amp; Payments'!$J$2:$J$500,0)),"")</f>
        <v/>
      </c>
      <c r="E104" s="1"/>
      <c r="F104" s="1"/>
      <c r="G104" s="1"/>
      <c r="H104" s="1"/>
    </row>
    <row r="105" spans="1:8" x14ac:dyDescent="0.25">
      <c r="A105" t="str">
        <f>IFERROR(INDEX('Orders &amp; Payments'!$A$2:$A$500,MATCH($E105,'Orders &amp; Payments'!$J$2:$J$500,0)),"")</f>
        <v/>
      </c>
      <c r="B105" t="str">
        <f>IFERROR(INDEX('Orders &amp; Payments'!$B$2:$B$500,MATCH($E105,'Orders &amp; Payments'!$J$2:$J$500,0)),"")</f>
        <v/>
      </c>
      <c r="C105" t="str">
        <f>IFERROR(INDEX('Orders &amp; Payments'!$I$2:$I$500,MATCH($E105,'Orders &amp; Payments'!$J$2:$J$500,0)),"")</f>
        <v/>
      </c>
      <c r="D105" t="str">
        <f>IFERROR(INDEX('Orders &amp; Payments'!$H$2:$H$500,MATCH($E105,'Orders &amp; Payments'!$J$2:$J$500,0)),"")</f>
        <v/>
      </c>
      <c r="E105" s="1"/>
      <c r="F105" s="1"/>
      <c r="G105" s="1"/>
      <c r="H105" s="1"/>
    </row>
    <row r="106" spans="1:8" x14ac:dyDescent="0.25">
      <c r="A106" t="str">
        <f>IFERROR(INDEX('Orders &amp; Payments'!$A$2:$A$500,MATCH($E106,'Orders &amp; Payments'!$J$2:$J$500,0)),"")</f>
        <v/>
      </c>
      <c r="B106" t="str">
        <f>IFERROR(INDEX('Orders &amp; Payments'!$B$2:$B$500,MATCH($E106,'Orders &amp; Payments'!$J$2:$J$500,0)),"")</f>
        <v/>
      </c>
      <c r="C106" t="str">
        <f>IFERROR(INDEX('Orders &amp; Payments'!$I$2:$I$500,MATCH($E106,'Orders &amp; Payments'!$J$2:$J$500,0)),"")</f>
        <v/>
      </c>
      <c r="D106" t="str">
        <f>IFERROR(INDEX('Orders &amp; Payments'!$H$2:$H$500,MATCH($E106,'Orders &amp; Payments'!$J$2:$J$500,0)),"")</f>
        <v/>
      </c>
      <c r="E106" s="1"/>
      <c r="F106" s="1"/>
      <c r="G106" s="1"/>
      <c r="H106" s="1"/>
    </row>
    <row r="107" spans="1:8" x14ac:dyDescent="0.25">
      <c r="A107" t="str">
        <f>IFERROR(INDEX('Orders &amp; Payments'!$A$2:$A$500,MATCH($E107,'Orders &amp; Payments'!$J$2:$J$500,0)),"")</f>
        <v/>
      </c>
      <c r="B107" t="str">
        <f>IFERROR(INDEX('Orders &amp; Payments'!$B$2:$B$500,MATCH($E107,'Orders &amp; Payments'!$J$2:$J$500,0)),"")</f>
        <v/>
      </c>
      <c r="C107" t="str">
        <f>IFERROR(INDEX('Orders &amp; Payments'!$I$2:$I$500,MATCH($E107,'Orders &amp; Payments'!$J$2:$J$500,0)),"")</f>
        <v/>
      </c>
      <c r="D107" t="str">
        <f>IFERROR(INDEX('Orders &amp; Payments'!$H$2:$H$500,MATCH($E107,'Orders &amp; Payments'!$J$2:$J$500,0)),"")</f>
        <v/>
      </c>
      <c r="E107" s="1"/>
      <c r="F107" s="1"/>
      <c r="G107" s="1"/>
      <c r="H107" s="1"/>
    </row>
    <row r="108" spans="1:8" x14ac:dyDescent="0.25">
      <c r="A108" t="str">
        <f>IFERROR(INDEX('Orders &amp; Payments'!$A$2:$A$500,MATCH($E108,'Orders &amp; Payments'!$J$2:$J$500,0)),"")</f>
        <v/>
      </c>
      <c r="B108" t="str">
        <f>IFERROR(INDEX('Orders &amp; Payments'!$B$2:$B$500,MATCH($E108,'Orders &amp; Payments'!$J$2:$J$500,0)),"")</f>
        <v/>
      </c>
      <c r="C108" t="str">
        <f>IFERROR(INDEX('Orders &amp; Payments'!$I$2:$I$500,MATCH($E108,'Orders &amp; Payments'!$J$2:$J$500,0)),"")</f>
        <v/>
      </c>
      <c r="D108" t="str">
        <f>IFERROR(INDEX('Orders &amp; Payments'!$H$2:$H$500,MATCH($E108,'Orders &amp; Payments'!$J$2:$J$500,0)),"")</f>
        <v/>
      </c>
      <c r="E108" s="1"/>
      <c r="F108" s="1"/>
      <c r="G108" s="1"/>
      <c r="H108" s="1"/>
    </row>
    <row r="109" spans="1:8" x14ac:dyDescent="0.25">
      <c r="A109" t="str">
        <f>IFERROR(INDEX('Orders &amp; Payments'!$A$2:$A$500,MATCH($E109,'Orders &amp; Payments'!$J$2:$J$500,0)),"")</f>
        <v/>
      </c>
      <c r="B109" t="str">
        <f>IFERROR(INDEX('Orders &amp; Payments'!$B$2:$B$500,MATCH($E109,'Orders &amp; Payments'!$J$2:$J$500,0)),"")</f>
        <v/>
      </c>
      <c r="C109" t="str">
        <f>IFERROR(INDEX('Orders &amp; Payments'!$I$2:$I$500,MATCH($E109,'Orders &amp; Payments'!$J$2:$J$500,0)),"")</f>
        <v/>
      </c>
      <c r="D109" t="str">
        <f>IFERROR(INDEX('Orders &amp; Payments'!$H$2:$H$500,MATCH($E109,'Orders &amp; Payments'!$J$2:$J$500,0)),"")</f>
        <v/>
      </c>
      <c r="E109" s="1"/>
      <c r="F109" s="1"/>
      <c r="G109" s="1"/>
      <c r="H109" s="1"/>
    </row>
    <row r="110" spans="1:8" x14ac:dyDescent="0.25">
      <c r="A110" t="str">
        <f>IFERROR(INDEX('Orders &amp; Payments'!$A$2:$A$500,MATCH($E110,'Orders &amp; Payments'!$J$2:$J$500,0)),"")</f>
        <v/>
      </c>
      <c r="B110" t="str">
        <f>IFERROR(INDEX('Orders &amp; Payments'!$B$2:$B$500,MATCH($E110,'Orders &amp; Payments'!$J$2:$J$500,0)),"")</f>
        <v/>
      </c>
      <c r="C110" t="str">
        <f>IFERROR(INDEX('Orders &amp; Payments'!$I$2:$I$500,MATCH($E110,'Orders &amp; Payments'!$J$2:$J$500,0)),"")</f>
        <v/>
      </c>
      <c r="D110" t="str">
        <f>IFERROR(INDEX('Orders &amp; Payments'!$H$2:$H$500,MATCH($E110,'Orders &amp; Payments'!$J$2:$J$500,0)),"")</f>
        <v/>
      </c>
      <c r="E110" s="1"/>
      <c r="F110" s="1"/>
      <c r="G110" s="1"/>
      <c r="H110" s="1"/>
    </row>
    <row r="111" spans="1:8" x14ac:dyDescent="0.25">
      <c r="A111" t="str">
        <f>IFERROR(INDEX('Orders &amp; Payments'!$A$2:$A$500,MATCH($E111,'Orders &amp; Payments'!$J$2:$J$500,0)),"")</f>
        <v/>
      </c>
      <c r="B111" t="str">
        <f>IFERROR(INDEX('Orders &amp; Payments'!$B$2:$B$500,MATCH($E111,'Orders &amp; Payments'!$J$2:$J$500,0)),"")</f>
        <v/>
      </c>
      <c r="C111" t="str">
        <f>IFERROR(INDEX('Orders &amp; Payments'!$I$2:$I$500,MATCH($E111,'Orders &amp; Payments'!$J$2:$J$500,0)),"")</f>
        <v/>
      </c>
      <c r="D111" t="str">
        <f>IFERROR(INDEX('Orders &amp; Payments'!$H$2:$H$500,MATCH($E111,'Orders &amp; Payments'!$J$2:$J$500,0)),"")</f>
        <v/>
      </c>
      <c r="E111" s="1"/>
      <c r="F111" s="1"/>
      <c r="G111" s="1"/>
      <c r="H111" s="1"/>
    </row>
    <row r="112" spans="1:8" x14ac:dyDescent="0.25">
      <c r="A112" t="str">
        <f>IFERROR(INDEX('Orders &amp; Payments'!$A$2:$A$500,MATCH($E112,'Orders &amp; Payments'!$J$2:$J$500,0)),"")</f>
        <v/>
      </c>
      <c r="B112" t="str">
        <f>IFERROR(INDEX('Orders &amp; Payments'!$B$2:$B$500,MATCH($E112,'Orders &amp; Payments'!$J$2:$J$500,0)),"")</f>
        <v/>
      </c>
      <c r="C112" t="str">
        <f>IFERROR(INDEX('Orders &amp; Payments'!$I$2:$I$500,MATCH($E112,'Orders &amp; Payments'!$J$2:$J$500,0)),"")</f>
        <v/>
      </c>
      <c r="D112" t="str">
        <f>IFERROR(INDEX('Orders &amp; Payments'!$H$2:$H$500,MATCH($E112,'Orders &amp; Payments'!$J$2:$J$500,0)),"")</f>
        <v/>
      </c>
      <c r="E112" s="1"/>
      <c r="F112" s="1"/>
      <c r="G112" s="1"/>
      <c r="H112" s="1"/>
    </row>
    <row r="113" spans="1:8" x14ac:dyDescent="0.25">
      <c r="A113" t="str">
        <f>IFERROR(INDEX('Orders &amp; Payments'!$A$2:$A$500,MATCH($E113,'Orders &amp; Payments'!$J$2:$J$500,0)),"")</f>
        <v/>
      </c>
      <c r="B113" t="str">
        <f>IFERROR(INDEX('Orders &amp; Payments'!$B$2:$B$500,MATCH($E113,'Orders &amp; Payments'!$J$2:$J$500,0)),"")</f>
        <v/>
      </c>
      <c r="C113" t="str">
        <f>IFERROR(INDEX('Orders &amp; Payments'!$I$2:$I$500,MATCH($E113,'Orders &amp; Payments'!$J$2:$J$500,0)),"")</f>
        <v/>
      </c>
      <c r="D113" t="str">
        <f>IFERROR(INDEX('Orders &amp; Payments'!$H$2:$H$500,MATCH($E113,'Orders &amp; Payments'!$J$2:$J$500,0)),"")</f>
        <v/>
      </c>
      <c r="E113" s="1"/>
      <c r="F113" s="1"/>
      <c r="G113" s="1"/>
      <c r="H113" s="1"/>
    </row>
    <row r="114" spans="1:8" x14ac:dyDescent="0.25">
      <c r="A114" t="str">
        <f>IFERROR(INDEX('Orders &amp; Payments'!$A$2:$A$500,MATCH($E114,'Orders &amp; Payments'!$J$2:$J$500,0)),"")</f>
        <v/>
      </c>
      <c r="B114" t="str">
        <f>IFERROR(INDEX('Orders &amp; Payments'!$B$2:$B$500,MATCH($E114,'Orders &amp; Payments'!$J$2:$J$500,0)),"")</f>
        <v/>
      </c>
      <c r="C114" t="str">
        <f>IFERROR(INDEX('Orders &amp; Payments'!$I$2:$I$500,MATCH($E114,'Orders &amp; Payments'!$J$2:$J$500,0)),"")</f>
        <v/>
      </c>
      <c r="D114" t="str">
        <f>IFERROR(INDEX('Orders &amp; Payments'!$H$2:$H$500,MATCH($E114,'Orders &amp; Payments'!$J$2:$J$500,0)),"")</f>
        <v/>
      </c>
      <c r="E114" s="1"/>
      <c r="F114" s="1"/>
      <c r="G114" s="1"/>
      <c r="H114" s="1"/>
    </row>
    <row r="115" spans="1:8" x14ac:dyDescent="0.25">
      <c r="A115" t="str">
        <f>IFERROR(INDEX('Orders &amp; Payments'!$A$2:$A$500,MATCH($E115,'Orders &amp; Payments'!$J$2:$J$500,0)),"")</f>
        <v/>
      </c>
      <c r="B115" t="str">
        <f>IFERROR(INDEX('Orders &amp; Payments'!$B$2:$B$500,MATCH($E115,'Orders &amp; Payments'!$J$2:$J$500,0)),"")</f>
        <v/>
      </c>
      <c r="C115" t="str">
        <f>IFERROR(INDEX('Orders &amp; Payments'!$I$2:$I$500,MATCH($E115,'Orders &amp; Payments'!$J$2:$J$500,0)),"")</f>
        <v/>
      </c>
      <c r="D115" t="str">
        <f>IFERROR(INDEX('Orders &amp; Payments'!$H$2:$H$500,MATCH($E115,'Orders &amp; Payments'!$J$2:$J$500,0)),"")</f>
        <v/>
      </c>
      <c r="E115" s="1"/>
      <c r="F115" s="1"/>
      <c r="G115" s="1"/>
      <c r="H115" s="1"/>
    </row>
    <row r="116" spans="1:8" x14ac:dyDescent="0.25">
      <c r="A116" t="str">
        <f>IFERROR(INDEX('Orders &amp; Payments'!$A$2:$A$500,MATCH($E116,'Orders &amp; Payments'!$J$2:$J$500,0)),"")</f>
        <v/>
      </c>
      <c r="B116" t="str">
        <f>IFERROR(INDEX('Orders &amp; Payments'!$B$2:$B$500,MATCH($E116,'Orders &amp; Payments'!$J$2:$J$500,0)),"")</f>
        <v/>
      </c>
      <c r="C116" t="str">
        <f>IFERROR(INDEX('Orders &amp; Payments'!$I$2:$I$500,MATCH($E116,'Orders &amp; Payments'!$J$2:$J$500,0)),"")</f>
        <v/>
      </c>
      <c r="D116" t="str">
        <f>IFERROR(INDEX('Orders &amp; Payments'!$H$2:$H$500,MATCH($E116,'Orders &amp; Payments'!$J$2:$J$500,0)),"")</f>
        <v/>
      </c>
      <c r="E116" s="1"/>
      <c r="F116" s="1"/>
      <c r="G116" s="1"/>
      <c r="H116" s="1"/>
    </row>
    <row r="117" spans="1:8" x14ac:dyDescent="0.25">
      <c r="A117" t="str">
        <f>IFERROR(INDEX('Orders &amp; Payments'!$A$2:$A$500,MATCH($E117,'Orders &amp; Payments'!$J$2:$J$500,0)),"")</f>
        <v/>
      </c>
      <c r="B117" t="str">
        <f>IFERROR(INDEX('Orders &amp; Payments'!$B$2:$B$500,MATCH($E117,'Orders &amp; Payments'!$J$2:$J$500,0)),"")</f>
        <v/>
      </c>
      <c r="C117" t="str">
        <f>IFERROR(INDEX('Orders &amp; Payments'!$I$2:$I$500,MATCH($E117,'Orders &amp; Payments'!$J$2:$J$500,0)),"")</f>
        <v/>
      </c>
      <c r="D117" t="str">
        <f>IFERROR(INDEX('Orders &amp; Payments'!$H$2:$H$500,MATCH($E117,'Orders &amp; Payments'!$J$2:$J$500,0)),"")</f>
        <v/>
      </c>
      <c r="E117" s="1"/>
      <c r="F117" s="1"/>
      <c r="G117" s="1"/>
      <c r="H117" s="1"/>
    </row>
    <row r="118" spans="1:8" x14ac:dyDescent="0.25">
      <c r="A118" t="str">
        <f>IFERROR(INDEX('Orders &amp; Payments'!$A$2:$A$500,MATCH($E118,'Orders &amp; Payments'!$J$2:$J$500,0)),"")</f>
        <v/>
      </c>
      <c r="B118" t="str">
        <f>IFERROR(INDEX('Orders &amp; Payments'!$B$2:$B$500,MATCH($E118,'Orders &amp; Payments'!$J$2:$J$500,0)),"")</f>
        <v/>
      </c>
      <c r="C118" t="str">
        <f>IFERROR(INDEX('Orders &amp; Payments'!$I$2:$I$500,MATCH($E118,'Orders &amp; Payments'!$J$2:$J$500,0)),"")</f>
        <v/>
      </c>
      <c r="D118" t="str">
        <f>IFERROR(INDEX('Orders &amp; Payments'!$H$2:$H$500,MATCH($E118,'Orders &amp; Payments'!$J$2:$J$500,0)),"")</f>
        <v/>
      </c>
      <c r="E118" s="1"/>
      <c r="F118" s="1"/>
      <c r="G118" s="1"/>
      <c r="H118" s="1"/>
    </row>
    <row r="119" spans="1:8" x14ac:dyDescent="0.25">
      <c r="A119" t="str">
        <f>IFERROR(INDEX('Orders &amp; Payments'!$A$2:$A$500,MATCH($E119,'Orders &amp; Payments'!$J$2:$J$500,0)),"")</f>
        <v/>
      </c>
      <c r="B119" t="str">
        <f>IFERROR(INDEX('Orders &amp; Payments'!$B$2:$B$500,MATCH($E119,'Orders &amp; Payments'!$J$2:$J$500,0)),"")</f>
        <v/>
      </c>
      <c r="C119" t="str">
        <f>IFERROR(INDEX('Orders &amp; Payments'!$I$2:$I$500,MATCH($E119,'Orders &amp; Payments'!$J$2:$J$500,0)),"")</f>
        <v/>
      </c>
      <c r="D119" t="str">
        <f>IFERROR(INDEX('Orders &amp; Payments'!$H$2:$H$500,MATCH($E119,'Orders &amp; Payments'!$J$2:$J$500,0)),"")</f>
        <v/>
      </c>
      <c r="E119" s="1"/>
      <c r="F119" s="1"/>
      <c r="G119" s="1"/>
      <c r="H119" s="1"/>
    </row>
    <row r="120" spans="1:8" x14ac:dyDescent="0.25">
      <c r="A120" t="str">
        <f>IFERROR(INDEX('Orders &amp; Payments'!$A$2:$A$500,MATCH($E120,'Orders &amp; Payments'!$J$2:$J$500,0)),"")</f>
        <v/>
      </c>
      <c r="B120" t="str">
        <f>IFERROR(INDEX('Orders &amp; Payments'!$B$2:$B$500,MATCH($E120,'Orders &amp; Payments'!$J$2:$J$500,0)),"")</f>
        <v/>
      </c>
      <c r="C120" t="str">
        <f>IFERROR(INDEX('Orders &amp; Payments'!$I$2:$I$500,MATCH($E120,'Orders &amp; Payments'!$J$2:$J$500,0)),"")</f>
        <v/>
      </c>
      <c r="D120" t="str">
        <f>IFERROR(INDEX('Orders &amp; Payments'!$H$2:$H$500,MATCH($E120,'Orders &amp; Payments'!$J$2:$J$500,0)),"")</f>
        <v/>
      </c>
      <c r="E120" s="1"/>
      <c r="F120" s="1"/>
      <c r="G120" s="1"/>
      <c r="H120" s="1"/>
    </row>
    <row r="121" spans="1:8" x14ac:dyDescent="0.25">
      <c r="A121" t="str">
        <f>IFERROR(INDEX('Orders &amp; Payments'!$A$2:$A$500,MATCH($E121,'Orders &amp; Payments'!$J$2:$J$500,0)),"")</f>
        <v/>
      </c>
      <c r="B121" t="str">
        <f>IFERROR(INDEX('Orders &amp; Payments'!$B$2:$B$500,MATCH($E121,'Orders &amp; Payments'!$J$2:$J$500,0)),"")</f>
        <v/>
      </c>
      <c r="C121" t="str">
        <f>IFERROR(INDEX('Orders &amp; Payments'!$I$2:$I$500,MATCH($E121,'Orders &amp; Payments'!$J$2:$J$500,0)),"")</f>
        <v/>
      </c>
      <c r="D121" t="str">
        <f>IFERROR(INDEX('Orders &amp; Payments'!$H$2:$H$500,MATCH($E121,'Orders &amp; Payments'!$J$2:$J$500,0)),"")</f>
        <v/>
      </c>
      <c r="E121" s="1"/>
      <c r="F121" s="1"/>
      <c r="G121" s="1"/>
      <c r="H121" s="1"/>
    </row>
    <row r="122" spans="1:8" x14ac:dyDescent="0.25">
      <c r="A122" t="str">
        <f>IFERROR(INDEX('Orders &amp; Payments'!$A$2:$A$500,MATCH($E122,'Orders &amp; Payments'!$J$2:$J$500,0)),"")</f>
        <v/>
      </c>
      <c r="B122" t="str">
        <f>IFERROR(INDEX('Orders &amp; Payments'!$B$2:$B$500,MATCH($E122,'Orders &amp; Payments'!$J$2:$J$500,0)),"")</f>
        <v/>
      </c>
      <c r="C122" t="str">
        <f>IFERROR(INDEX('Orders &amp; Payments'!$I$2:$I$500,MATCH($E122,'Orders &amp; Payments'!$J$2:$J$500,0)),"")</f>
        <v/>
      </c>
      <c r="D122" t="str">
        <f>IFERROR(INDEX('Orders &amp; Payments'!$H$2:$H$500,MATCH($E122,'Orders &amp; Payments'!$J$2:$J$500,0)),"")</f>
        <v/>
      </c>
      <c r="E122" s="1"/>
      <c r="F122" s="1"/>
      <c r="G122" s="1"/>
      <c r="H122" s="1"/>
    </row>
    <row r="123" spans="1:8" x14ac:dyDescent="0.25">
      <c r="A123" t="str">
        <f>IFERROR(INDEX('Orders &amp; Payments'!$A$2:$A$500,MATCH($E123,'Orders &amp; Payments'!$J$2:$J$500,0)),"")</f>
        <v/>
      </c>
      <c r="B123" t="str">
        <f>IFERROR(INDEX('Orders &amp; Payments'!$B$2:$B$500,MATCH($E123,'Orders &amp; Payments'!$J$2:$J$500,0)),"")</f>
        <v/>
      </c>
      <c r="C123" t="str">
        <f>IFERROR(INDEX('Orders &amp; Payments'!$I$2:$I$500,MATCH($E123,'Orders &amp; Payments'!$J$2:$J$500,0)),"")</f>
        <v/>
      </c>
      <c r="D123" t="str">
        <f>IFERROR(INDEX('Orders &amp; Payments'!$H$2:$H$500,MATCH($E123,'Orders &amp; Payments'!$J$2:$J$500,0)),"")</f>
        <v/>
      </c>
      <c r="E123" s="1"/>
      <c r="F123" s="1"/>
      <c r="G123" s="1"/>
      <c r="H123" s="1"/>
    </row>
    <row r="124" spans="1:8" x14ac:dyDescent="0.25">
      <c r="A124" t="str">
        <f>IFERROR(INDEX('Orders &amp; Payments'!$A$2:$A$500,MATCH($E124,'Orders &amp; Payments'!$J$2:$J$500,0)),"")</f>
        <v/>
      </c>
      <c r="B124" t="str">
        <f>IFERROR(INDEX('Orders &amp; Payments'!$B$2:$B$500,MATCH($E124,'Orders &amp; Payments'!$J$2:$J$500,0)),"")</f>
        <v/>
      </c>
      <c r="C124" t="str">
        <f>IFERROR(INDEX('Orders &amp; Payments'!$I$2:$I$500,MATCH($E124,'Orders &amp; Payments'!$J$2:$J$500,0)),"")</f>
        <v/>
      </c>
      <c r="D124" t="str">
        <f>IFERROR(INDEX('Orders &amp; Payments'!$H$2:$H$500,MATCH($E124,'Orders &amp; Payments'!$J$2:$J$500,0)),"")</f>
        <v/>
      </c>
      <c r="E124" s="1"/>
      <c r="F124" s="1"/>
      <c r="G124" s="1"/>
      <c r="H124" s="1"/>
    </row>
    <row r="125" spans="1:8" x14ac:dyDescent="0.25">
      <c r="A125" t="str">
        <f>IFERROR(INDEX('Orders &amp; Payments'!$A$2:$A$500,MATCH($E125,'Orders &amp; Payments'!$J$2:$J$500,0)),"")</f>
        <v/>
      </c>
      <c r="B125" t="str">
        <f>IFERROR(INDEX('Orders &amp; Payments'!$B$2:$B$500,MATCH($E125,'Orders &amp; Payments'!$J$2:$J$500,0)),"")</f>
        <v/>
      </c>
      <c r="C125" t="str">
        <f>IFERROR(INDEX('Orders &amp; Payments'!$I$2:$I$500,MATCH($E125,'Orders &amp; Payments'!$J$2:$J$500,0)),"")</f>
        <v/>
      </c>
      <c r="D125" t="str">
        <f>IFERROR(INDEX('Orders &amp; Payments'!$H$2:$H$500,MATCH($E125,'Orders &amp; Payments'!$J$2:$J$500,0)),"")</f>
        <v/>
      </c>
      <c r="E125" s="1"/>
      <c r="F125" s="1"/>
      <c r="G125" s="1"/>
      <c r="H125" s="1"/>
    </row>
    <row r="126" spans="1:8" x14ac:dyDescent="0.25">
      <c r="A126" t="str">
        <f>IFERROR(INDEX('Orders &amp; Payments'!$A$2:$A$500,MATCH($E126,'Orders &amp; Payments'!$J$2:$J$500,0)),"")</f>
        <v/>
      </c>
      <c r="B126" t="str">
        <f>IFERROR(INDEX('Orders &amp; Payments'!$B$2:$B$500,MATCH($E126,'Orders &amp; Payments'!$J$2:$J$500,0)),"")</f>
        <v/>
      </c>
      <c r="C126" t="str">
        <f>IFERROR(INDEX('Orders &amp; Payments'!$I$2:$I$500,MATCH($E126,'Orders &amp; Payments'!$J$2:$J$500,0)),"")</f>
        <v/>
      </c>
      <c r="D126" t="str">
        <f>IFERROR(INDEX('Orders &amp; Payments'!$H$2:$H$500,MATCH($E126,'Orders &amp; Payments'!$J$2:$J$500,0)),"")</f>
        <v/>
      </c>
      <c r="E126" s="1"/>
      <c r="F126" s="1"/>
      <c r="G126" s="1"/>
      <c r="H126" s="1"/>
    </row>
    <row r="127" spans="1:8" x14ac:dyDescent="0.25">
      <c r="A127" t="str">
        <f>IFERROR(INDEX('Orders &amp; Payments'!$A$2:$A$500,MATCH($E127,'Orders &amp; Payments'!$J$2:$J$500,0)),"")</f>
        <v/>
      </c>
      <c r="B127" t="str">
        <f>IFERROR(INDEX('Orders &amp; Payments'!$B$2:$B$500,MATCH($E127,'Orders &amp; Payments'!$J$2:$J$500,0)),"")</f>
        <v/>
      </c>
      <c r="C127" t="str">
        <f>IFERROR(INDEX('Orders &amp; Payments'!$I$2:$I$500,MATCH($E127,'Orders &amp; Payments'!$J$2:$J$500,0)),"")</f>
        <v/>
      </c>
      <c r="D127" t="str">
        <f>IFERROR(INDEX('Orders &amp; Payments'!$H$2:$H$500,MATCH($E127,'Orders &amp; Payments'!$J$2:$J$500,0)),"")</f>
        <v/>
      </c>
      <c r="E127" s="1"/>
      <c r="F127" s="1"/>
      <c r="G127" s="1"/>
      <c r="H127" s="1"/>
    </row>
    <row r="128" spans="1:8" x14ac:dyDescent="0.25">
      <c r="A128" t="str">
        <f>IFERROR(INDEX('Orders &amp; Payments'!$A$2:$A$500,MATCH($E128,'Orders &amp; Payments'!$J$2:$J$500,0)),"")</f>
        <v/>
      </c>
      <c r="B128" t="str">
        <f>IFERROR(INDEX('Orders &amp; Payments'!$B$2:$B$500,MATCH($E128,'Orders &amp; Payments'!$J$2:$J$500,0)),"")</f>
        <v/>
      </c>
      <c r="C128" t="str">
        <f>IFERROR(INDEX('Orders &amp; Payments'!$I$2:$I$500,MATCH($E128,'Orders &amp; Payments'!$J$2:$J$500,0)),"")</f>
        <v/>
      </c>
      <c r="D128" t="str">
        <f>IFERROR(INDEX('Orders &amp; Payments'!$H$2:$H$500,MATCH($E128,'Orders &amp; Payments'!$J$2:$J$500,0)),"")</f>
        <v/>
      </c>
      <c r="E128" s="1"/>
      <c r="F128" s="1"/>
      <c r="G128" s="1"/>
      <c r="H128" s="1"/>
    </row>
    <row r="129" spans="1:8" x14ac:dyDescent="0.25">
      <c r="A129" t="str">
        <f>IFERROR(INDEX('Orders &amp; Payments'!$A$2:$A$500,MATCH($E129,'Orders &amp; Payments'!$J$2:$J$500,0)),"")</f>
        <v/>
      </c>
      <c r="B129" t="str">
        <f>IFERROR(INDEX('Orders &amp; Payments'!$B$2:$B$500,MATCH($E129,'Orders &amp; Payments'!$J$2:$J$500,0)),"")</f>
        <v/>
      </c>
      <c r="C129" t="str">
        <f>IFERROR(INDEX('Orders &amp; Payments'!$I$2:$I$500,MATCH($E129,'Orders &amp; Payments'!$J$2:$J$500,0)),"")</f>
        <v/>
      </c>
      <c r="D129" t="str">
        <f>IFERROR(INDEX('Orders &amp; Payments'!$H$2:$H$500,MATCH($E129,'Orders &amp; Payments'!$J$2:$J$500,0)),"")</f>
        <v/>
      </c>
      <c r="E129" s="1"/>
      <c r="F129" s="1"/>
      <c r="G129" s="1"/>
      <c r="H129" s="1"/>
    </row>
    <row r="130" spans="1:8" x14ac:dyDescent="0.25">
      <c r="A130" t="str">
        <f>IFERROR(INDEX('Orders &amp; Payments'!$A$2:$A$500,MATCH($E130,'Orders &amp; Payments'!$J$2:$J$500,0)),"")</f>
        <v/>
      </c>
      <c r="B130" t="str">
        <f>IFERROR(INDEX('Orders &amp; Payments'!$B$2:$B$500,MATCH($E130,'Orders &amp; Payments'!$J$2:$J$500,0)),"")</f>
        <v/>
      </c>
      <c r="C130" t="str">
        <f>IFERROR(INDEX('Orders &amp; Payments'!$I$2:$I$500,MATCH($E130,'Orders &amp; Payments'!$J$2:$J$500,0)),"")</f>
        <v/>
      </c>
      <c r="D130" t="str">
        <f>IFERROR(INDEX('Orders &amp; Payments'!$H$2:$H$500,MATCH($E130,'Orders &amp; Payments'!$J$2:$J$500,0)),"")</f>
        <v/>
      </c>
      <c r="E130" s="1"/>
      <c r="F130" s="1"/>
      <c r="G130" s="1"/>
      <c r="H130" s="1"/>
    </row>
    <row r="131" spans="1:8" x14ac:dyDescent="0.25">
      <c r="A131" t="str">
        <f>IFERROR(INDEX('Orders &amp; Payments'!$A$2:$A$500,MATCH($E131,'Orders &amp; Payments'!$J$2:$J$500,0)),"")</f>
        <v/>
      </c>
      <c r="B131" t="str">
        <f>IFERROR(INDEX('Orders &amp; Payments'!$B$2:$B$500,MATCH($E131,'Orders &amp; Payments'!$J$2:$J$500,0)),"")</f>
        <v/>
      </c>
      <c r="C131" t="str">
        <f>IFERROR(INDEX('Orders &amp; Payments'!$I$2:$I$500,MATCH($E131,'Orders &amp; Payments'!$J$2:$J$500,0)),"")</f>
        <v/>
      </c>
      <c r="D131" t="str">
        <f>IFERROR(INDEX('Orders &amp; Payments'!$H$2:$H$500,MATCH($E131,'Orders &amp; Payments'!$J$2:$J$500,0)),"")</f>
        <v/>
      </c>
      <c r="E131" s="1"/>
      <c r="F131" s="1"/>
      <c r="G131" s="1"/>
      <c r="H131" s="1"/>
    </row>
    <row r="132" spans="1:8" x14ac:dyDescent="0.25">
      <c r="A132" t="str">
        <f>IFERROR(INDEX('Orders &amp; Payments'!$A$2:$A$500,MATCH($E132,'Orders &amp; Payments'!$J$2:$J$500,0)),"")</f>
        <v/>
      </c>
      <c r="B132" t="str">
        <f>IFERROR(INDEX('Orders &amp; Payments'!$B$2:$B$500,MATCH($E132,'Orders &amp; Payments'!$J$2:$J$500,0)),"")</f>
        <v/>
      </c>
      <c r="C132" t="str">
        <f>IFERROR(INDEX('Orders &amp; Payments'!$I$2:$I$500,MATCH($E132,'Orders &amp; Payments'!$J$2:$J$500,0)),"")</f>
        <v/>
      </c>
      <c r="D132" t="str">
        <f>IFERROR(INDEX('Orders &amp; Payments'!$H$2:$H$500,MATCH($E132,'Orders &amp; Payments'!$J$2:$J$500,0)),"")</f>
        <v/>
      </c>
      <c r="E132" s="1"/>
      <c r="F132" s="1"/>
      <c r="G132" s="1"/>
      <c r="H132" s="1"/>
    </row>
    <row r="133" spans="1:8" x14ac:dyDescent="0.25">
      <c r="A133" t="str">
        <f>IFERROR(INDEX('Orders &amp; Payments'!$A$2:$A$500,MATCH($E133,'Orders &amp; Payments'!$J$2:$J$500,0)),"")</f>
        <v/>
      </c>
      <c r="B133" t="str">
        <f>IFERROR(INDEX('Orders &amp; Payments'!$B$2:$B$500,MATCH($E133,'Orders &amp; Payments'!$J$2:$J$500,0)),"")</f>
        <v/>
      </c>
      <c r="C133" t="str">
        <f>IFERROR(INDEX('Orders &amp; Payments'!$I$2:$I$500,MATCH($E133,'Orders &amp; Payments'!$J$2:$J$500,0)),"")</f>
        <v/>
      </c>
      <c r="D133" t="str">
        <f>IFERROR(INDEX('Orders &amp; Payments'!$H$2:$H$500,MATCH($E133,'Orders &amp; Payments'!$J$2:$J$500,0)),"")</f>
        <v/>
      </c>
      <c r="E133" s="1"/>
      <c r="F133" s="1"/>
      <c r="G133" s="1"/>
      <c r="H133" s="1"/>
    </row>
    <row r="134" spans="1:8" x14ac:dyDescent="0.25">
      <c r="A134" t="str">
        <f>IFERROR(INDEX('Orders &amp; Payments'!$A$2:$A$500,MATCH($E134,'Orders &amp; Payments'!$J$2:$J$500,0)),"")</f>
        <v/>
      </c>
      <c r="B134" t="str">
        <f>IFERROR(INDEX('Orders &amp; Payments'!$B$2:$B$500,MATCH($E134,'Orders &amp; Payments'!$J$2:$J$500,0)),"")</f>
        <v/>
      </c>
      <c r="C134" t="str">
        <f>IFERROR(INDEX('Orders &amp; Payments'!$I$2:$I$500,MATCH($E134,'Orders &amp; Payments'!$J$2:$J$500,0)),"")</f>
        <v/>
      </c>
      <c r="D134" t="str">
        <f>IFERROR(INDEX('Orders &amp; Payments'!$H$2:$H$500,MATCH($E134,'Orders &amp; Payments'!$J$2:$J$500,0)),"")</f>
        <v/>
      </c>
      <c r="E134" s="1"/>
      <c r="F134" s="1"/>
      <c r="G134" s="1"/>
      <c r="H134" s="1"/>
    </row>
    <row r="135" spans="1:8" x14ac:dyDescent="0.25">
      <c r="A135" t="str">
        <f>IFERROR(INDEX('Orders &amp; Payments'!$A$2:$A$500,MATCH($E135,'Orders &amp; Payments'!$J$2:$J$500,0)),"")</f>
        <v/>
      </c>
      <c r="B135" t="str">
        <f>IFERROR(INDEX('Orders &amp; Payments'!$B$2:$B$500,MATCH($E135,'Orders &amp; Payments'!$J$2:$J$500,0)),"")</f>
        <v/>
      </c>
      <c r="C135" t="str">
        <f>IFERROR(INDEX('Orders &amp; Payments'!$I$2:$I$500,MATCH($E135,'Orders &amp; Payments'!$J$2:$J$500,0)),"")</f>
        <v/>
      </c>
      <c r="D135" t="str">
        <f>IFERROR(INDEX('Orders &amp; Payments'!$H$2:$H$500,MATCH($E135,'Orders &amp; Payments'!$J$2:$J$500,0)),"")</f>
        <v/>
      </c>
      <c r="E135" s="1"/>
      <c r="F135" s="1"/>
      <c r="G135" s="1"/>
      <c r="H135" s="1"/>
    </row>
    <row r="136" spans="1:8" x14ac:dyDescent="0.25">
      <c r="A136" t="str">
        <f>IFERROR(INDEX('Orders &amp; Payments'!$A$2:$A$500,MATCH($E136,'Orders &amp; Payments'!$J$2:$J$500,0)),"")</f>
        <v/>
      </c>
      <c r="B136" t="str">
        <f>IFERROR(INDEX('Orders &amp; Payments'!$B$2:$B$500,MATCH($E136,'Orders &amp; Payments'!$J$2:$J$500,0)),"")</f>
        <v/>
      </c>
      <c r="C136" t="str">
        <f>IFERROR(INDEX('Orders &amp; Payments'!$I$2:$I$500,MATCH($E136,'Orders &amp; Payments'!$J$2:$J$500,0)),"")</f>
        <v/>
      </c>
      <c r="D136" t="str">
        <f>IFERROR(INDEX('Orders &amp; Payments'!$H$2:$H$500,MATCH($E136,'Orders &amp; Payments'!$J$2:$J$500,0)),"")</f>
        <v/>
      </c>
      <c r="E136" s="1"/>
      <c r="F136" s="1"/>
      <c r="G136" s="1"/>
      <c r="H136" s="1"/>
    </row>
    <row r="137" spans="1:8" x14ac:dyDescent="0.25">
      <c r="A137" t="str">
        <f>IFERROR(INDEX('Orders &amp; Payments'!$A$2:$A$500,MATCH($E137,'Orders &amp; Payments'!$J$2:$J$500,0)),"")</f>
        <v/>
      </c>
      <c r="B137" t="str">
        <f>IFERROR(INDEX('Orders &amp; Payments'!$B$2:$B$500,MATCH($E137,'Orders &amp; Payments'!$J$2:$J$500,0)),"")</f>
        <v/>
      </c>
      <c r="C137" t="str">
        <f>IFERROR(INDEX('Orders &amp; Payments'!$I$2:$I$500,MATCH($E137,'Orders &amp; Payments'!$J$2:$J$500,0)),"")</f>
        <v/>
      </c>
      <c r="D137" t="str">
        <f>IFERROR(INDEX('Orders &amp; Payments'!$H$2:$H$500,MATCH($E137,'Orders &amp; Payments'!$J$2:$J$500,0)),"")</f>
        <v/>
      </c>
      <c r="E137" s="1"/>
      <c r="F137" s="1"/>
      <c r="G137" s="1"/>
      <c r="H137" s="1"/>
    </row>
    <row r="138" spans="1:8" x14ac:dyDescent="0.25">
      <c r="A138" t="str">
        <f>IFERROR(INDEX('Orders &amp; Payments'!$A$2:$A$500,MATCH($E138,'Orders &amp; Payments'!$J$2:$J$500,0)),"")</f>
        <v/>
      </c>
      <c r="B138" t="str">
        <f>IFERROR(INDEX('Orders &amp; Payments'!$B$2:$B$500,MATCH($E138,'Orders &amp; Payments'!$J$2:$J$500,0)),"")</f>
        <v/>
      </c>
      <c r="C138" t="str">
        <f>IFERROR(INDEX('Orders &amp; Payments'!$I$2:$I$500,MATCH($E138,'Orders &amp; Payments'!$J$2:$J$500,0)),"")</f>
        <v/>
      </c>
      <c r="D138" t="str">
        <f>IFERROR(INDEX('Orders &amp; Payments'!$H$2:$H$500,MATCH($E138,'Orders &amp; Payments'!$J$2:$J$500,0)),"")</f>
        <v/>
      </c>
      <c r="E138" s="1"/>
      <c r="F138" s="1"/>
      <c r="G138" s="1"/>
      <c r="H138" s="1"/>
    </row>
    <row r="139" spans="1:8" x14ac:dyDescent="0.25">
      <c r="A139" t="str">
        <f>IFERROR(INDEX('Orders &amp; Payments'!$A$2:$A$500,MATCH($E139,'Orders &amp; Payments'!$J$2:$J$500,0)),"")</f>
        <v/>
      </c>
      <c r="B139" t="str">
        <f>IFERROR(INDEX('Orders &amp; Payments'!$B$2:$B$500,MATCH($E139,'Orders &amp; Payments'!$J$2:$J$500,0)),"")</f>
        <v/>
      </c>
      <c r="C139" t="str">
        <f>IFERROR(INDEX('Orders &amp; Payments'!$I$2:$I$500,MATCH($E139,'Orders &amp; Payments'!$J$2:$J$500,0)),"")</f>
        <v/>
      </c>
      <c r="D139" t="str">
        <f>IFERROR(INDEX('Orders &amp; Payments'!$H$2:$H$500,MATCH($E139,'Orders &amp; Payments'!$J$2:$J$500,0)),"")</f>
        <v/>
      </c>
      <c r="E139" s="1"/>
      <c r="F139" s="1"/>
      <c r="G139" s="1"/>
      <c r="H139" s="1"/>
    </row>
    <row r="140" spans="1:8" x14ac:dyDescent="0.25">
      <c r="A140" t="str">
        <f>IFERROR(INDEX('Orders &amp; Payments'!$A$2:$A$500,MATCH($E140,'Orders &amp; Payments'!$J$2:$J$500,0)),"")</f>
        <v/>
      </c>
      <c r="B140" t="str">
        <f>IFERROR(INDEX('Orders &amp; Payments'!$B$2:$B$500,MATCH($E140,'Orders &amp; Payments'!$J$2:$J$500,0)),"")</f>
        <v/>
      </c>
      <c r="C140" t="str">
        <f>IFERROR(INDEX('Orders &amp; Payments'!$I$2:$I$500,MATCH($E140,'Orders &amp; Payments'!$J$2:$J$500,0)),"")</f>
        <v/>
      </c>
      <c r="D140" t="str">
        <f>IFERROR(INDEX('Orders &amp; Payments'!$H$2:$H$500,MATCH($E140,'Orders &amp; Payments'!$J$2:$J$500,0)),"")</f>
        <v/>
      </c>
      <c r="E140" s="1"/>
      <c r="F140" s="1"/>
      <c r="G140" s="1"/>
      <c r="H140" s="1"/>
    </row>
    <row r="141" spans="1:8" x14ac:dyDescent="0.25">
      <c r="A141" t="str">
        <f>IFERROR(INDEX('Orders &amp; Payments'!$A$2:$A$500,MATCH($E141,'Orders &amp; Payments'!$J$2:$J$500,0)),"")</f>
        <v/>
      </c>
      <c r="B141" t="str">
        <f>IFERROR(INDEX('Orders &amp; Payments'!$B$2:$B$500,MATCH($E141,'Orders &amp; Payments'!$J$2:$J$500,0)),"")</f>
        <v/>
      </c>
      <c r="C141" t="str">
        <f>IFERROR(INDEX('Orders &amp; Payments'!$I$2:$I$500,MATCH($E141,'Orders &amp; Payments'!$J$2:$J$500,0)),"")</f>
        <v/>
      </c>
      <c r="D141" t="str">
        <f>IFERROR(INDEX('Orders &amp; Payments'!$H$2:$H$500,MATCH($E141,'Orders &amp; Payments'!$J$2:$J$500,0)),"")</f>
        <v/>
      </c>
      <c r="E141" s="1"/>
      <c r="F141" s="1"/>
      <c r="G141" s="1"/>
      <c r="H141" s="1"/>
    </row>
    <row r="142" spans="1:8" x14ac:dyDescent="0.25">
      <c r="A142" t="str">
        <f>IFERROR(INDEX('Orders &amp; Payments'!$A$2:$A$500,MATCH($E142,'Orders &amp; Payments'!$J$2:$J$500,0)),"")</f>
        <v/>
      </c>
      <c r="B142" t="str">
        <f>IFERROR(INDEX('Orders &amp; Payments'!$B$2:$B$500,MATCH($E142,'Orders &amp; Payments'!$J$2:$J$500,0)),"")</f>
        <v/>
      </c>
      <c r="C142" t="str">
        <f>IFERROR(INDEX('Orders &amp; Payments'!$I$2:$I$500,MATCH($E142,'Orders &amp; Payments'!$J$2:$J$500,0)),"")</f>
        <v/>
      </c>
      <c r="D142" t="str">
        <f>IFERROR(INDEX('Orders &amp; Payments'!$H$2:$H$500,MATCH($E142,'Orders &amp; Payments'!$J$2:$J$500,0)),"")</f>
        <v/>
      </c>
      <c r="E142" s="1"/>
      <c r="F142" s="1"/>
      <c r="G142" s="1"/>
      <c r="H142" s="1"/>
    </row>
    <row r="143" spans="1:8" x14ac:dyDescent="0.25">
      <c r="A143" t="str">
        <f>IFERROR(INDEX('Orders &amp; Payments'!$A$2:$A$500,MATCH($E143,'Orders &amp; Payments'!$J$2:$J$500,0)),"")</f>
        <v/>
      </c>
      <c r="B143" t="str">
        <f>IFERROR(INDEX('Orders &amp; Payments'!$B$2:$B$500,MATCH($E143,'Orders &amp; Payments'!$J$2:$J$500,0)),"")</f>
        <v/>
      </c>
      <c r="C143" t="str">
        <f>IFERROR(INDEX('Orders &amp; Payments'!$I$2:$I$500,MATCH($E143,'Orders &amp; Payments'!$J$2:$J$500,0)),"")</f>
        <v/>
      </c>
      <c r="D143" t="str">
        <f>IFERROR(INDEX('Orders &amp; Payments'!$H$2:$H$500,MATCH($E143,'Orders &amp; Payments'!$J$2:$J$500,0)),"")</f>
        <v/>
      </c>
      <c r="E143" s="1"/>
      <c r="F143" s="1"/>
      <c r="G143" s="1"/>
      <c r="H143" s="1"/>
    </row>
    <row r="144" spans="1:8" x14ac:dyDescent="0.25">
      <c r="A144" t="str">
        <f>IFERROR(INDEX('Orders &amp; Payments'!$A$2:$A$500,MATCH($E144,'Orders &amp; Payments'!$J$2:$J$500,0)),"")</f>
        <v/>
      </c>
      <c r="B144" t="str">
        <f>IFERROR(INDEX('Orders &amp; Payments'!$B$2:$B$500,MATCH($E144,'Orders &amp; Payments'!$J$2:$J$500,0)),"")</f>
        <v/>
      </c>
      <c r="C144" t="str">
        <f>IFERROR(INDEX('Orders &amp; Payments'!$I$2:$I$500,MATCH($E144,'Orders &amp; Payments'!$J$2:$J$500,0)),"")</f>
        <v/>
      </c>
      <c r="D144" t="str">
        <f>IFERROR(INDEX('Orders &amp; Payments'!$H$2:$H$500,MATCH($E144,'Orders &amp; Payments'!$J$2:$J$500,0)),"")</f>
        <v/>
      </c>
      <c r="E144" s="1"/>
      <c r="F144" s="1"/>
      <c r="G144" s="1"/>
      <c r="H144" s="1"/>
    </row>
    <row r="145" spans="1:8" x14ac:dyDescent="0.25">
      <c r="A145" t="str">
        <f>IFERROR(INDEX('Orders &amp; Payments'!$A$2:$A$500,MATCH($E145,'Orders &amp; Payments'!$J$2:$J$500,0)),"")</f>
        <v/>
      </c>
      <c r="B145" t="str">
        <f>IFERROR(INDEX('Orders &amp; Payments'!$B$2:$B$500,MATCH($E145,'Orders &amp; Payments'!$J$2:$J$500,0)),"")</f>
        <v/>
      </c>
      <c r="C145" t="str">
        <f>IFERROR(INDEX('Orders &amp; Payments'!$I$2:$I$500,MATCH($E145,'Orders &amp; Payments'!$J$2:$J$500,0)),"")</f>
        <v/>
      </c>
      <c r="D145" t="str">
        <f>IFERROR(INDEX('Orders &amp; Payments'!$H$2:$H$500,MATCH($E145,'Orders &amp; Payments'!$J$2:$J$500,0)),"")</f>
        <v/>
      </c>
      <c r="E145" s="1"/>
      <c r="F145" s="1"/>
      <c r="G145" s="1"/>
      <c r="H145" s="1"/>
    </row>
    <row r="146" spans="1:8" x14ac:dyDescent="0.25">
      <c r="A146" t="str">
        <f>IFERROR(INDEX('Orders &amp; Payments'!$A$2:$A$500,MATCH($E146,'Orders &amp; Payments'!$J$2:$J$500,0)),"")</f>
        <v/>
      </c>
      <c r="B146" t="str">
        <f>IFERROR(INDEX('Orders &amp; Payments'!$B$2:$B$500,MATCH($E146,'Orders &amp; Payments'!$J$2:$J$500,0)),"")</f>
        <v/>
      </c>
      <c r="C146" t="str">
        <f>IFERROR(INDEX('Orders &amp; Payments'!$I$2:$I$500,MATCH($E146,'Orders &amp; Payments'!$J$2:$J$500,0)),"")</f>
        <v/>
      </c>
      <c r="D146" t="str">
        <f>IFERROR(INDEX('Orders &amp; Payments'!$H$2:$H$500,MATCH($E146,'Orders &amp; Payments'!$J$2:$J$500,0)),"")</f>
        <v/>
      </c>
      <c r="E146" s="1"/>
      <c r="F146" s="1"/>
      <c r="G146" s="1"/>
      <c r="H146" s="1"/>
    </row>
    <row r="147" spans="1:8" x14ac:dyDescent="0.25">
      <c r="A147" t="str">
        <f>IFERROR(INDEX('Orders &amp; Payments'!$A$2:$A$500,MATCH($E147,'Orders &amp; Payments'!$J$2:$J$500,0)),"")</f>
        <v/>
      </c>
      <c r="B147" t="str">
        <f>IFERROR(INDEX('Orders &amp; Payments'!$B$2:$B$500,MATCH($E147,'Orders &amp; Payments'!$J$2:$J$500,0)),"")</f>
        <v/>
      </c>
      <c r="C147" t="str">
        <f>IFERROR(INDEX('Orders &amp; Payments'!$I$2:$I$500,MATCH($E147,'Orders &amp; Payments'!$J$2:$J$500,0)),"")</f>
        <v/>
      </c>
      <c r="D147" t="str">
        <f>IFERROR(INDEX('Orders &amp; Payments'!$H$2:$H$500,MATCH($E147,'Orders &amp; Payments'!$J$2:$J$500,0)),"")</f>
        <v/>
      </c>
      <c r="E147" s="1"/>
      <c r="F147" s="1"/>
      <c r="G147" s="1"/>
      <c r="H147" s="1"/>
    </row>
    <row r="148" spans="1:8" x14ac:dyDescent="0.25">
      <c r="A148" t="str">
        <f>IFERROR(INDEX('Orders &amp; Payments'!$A$2:$A$500,MATCH($E148,'Orders &amp; Payments'!$J$2:$J$500,0)),"")</f>
        <v/>
      </c>
      <c r="B148" t="str">
        <f>IFERROR(INDEX('Orders &amp; Payments'!$B$2:$B$500,MATCH($E148,'Orders &amp; Payments'!$J$2:$J$500,0)),"")</f>
        <v/>
      </c>
      <c r="C148" t="str">
        <f>IFERROR(INDEX('Orders &amp; Payments'!$I$2:$I$500,MATCH($E148,'Orders &amp; Payments'!$J$2:$J$500,0)),"")</f>
        <v/>
      </c>
      <c r="D148" t="str">
        <f>IFERROR(INDEX('Orders &amp; Payments'!$H$2:$H$500,MATCH($E148,'Orders &amp; Payments'!$J$2:$J$500,0)),"")</f>
        <v/>
      </c>
      <c r="E148" s="1"/>
      <c r="F148" s="1"/>
      <c r="G148" s="1"/>
      <c r="H148" s="1"/>
    </row>
    <row r="149" spans="1:8" x14ac:dyDescent="0.25">
      <c r="A149" t="str">
        <f>IFERROR(INDEX('Orders &amp; Payments'!$A$2:$A$500,MATCH($E149,'Orders &amp; Payments'!$J$2:$J$500,0)),"")</f>
        <v/>
      </c>
      <c r="B149" t="str">
        <f>IFERROR(INDEX('Orders &amp; Payments'!$B$2:$B$500,MATCH($E149,'Orders &amp; Payments'!$J$2:$J$500,0)),"")</f>
        <v/>
      </c>
      <c r="C149" t="str">
        <f>IFERROR(INDEX('Orders &amp; Payments'!$I$2:$I$500,MATCH($E149,'Orders &amp; Payments'!$J$2:$J$500,0)),"")</f>
        <v/>
      </c>
      <c r="D149" t="str">
        <f>IFERROR(INDEX('Orders &amp; Payments'!$H$2:$H$500,MATCH($E149,'Orders &amp; Payments'!$J$2:$J$500,0)),"")</f>
        <v/>
      </c>
      <c r="E149" s="1"/>
      <c r="F149" s="1"/>
      <c r="G149" s="1"/>
      <c r="H149" s="1"/>
    </row>
    <row r="150" spans="1:8" x14ac:dyDescent="0.25">
      <c r="A150" t="str">
        <f>IFERROR(INDEX('Orders &amp; Payments'!$A$2:$A$500,MATCH($E150,'Orders &amp; Payments'!$J$2:$J$500,0)),"")</f>
        <v/>
      </c>
      <c r="B150" t="str">
        <f>IFERROR(INDEX('Orders &amp; Payments'!$B$2:$B$500,MATCH($E150,'Orders &amp; Payments'!$J$2:$J$500,0)),"")</f>
        <v/>
      </c>
      <c r="C150" t="str">
        <f>IFERROR(INDEX('Orders &amp; Payments'!$I$2:$I$500,MATCH($E150,'Orders &amp; Payments'!$J$2:$J$500,0)),"")</f>
        <v/>
      </c>
      <c r="D150" t="str">
        <f>IFERROR(INDEX('Orders &amp; Payments'!$H$2:$H$500,MATCH($E150,'Orders &amp; Payments'!$J$2:$J$500,0)),"")</f>
        <v/>
      </c>
      <c r="E150" s="1"/>
      <c r="F150" s="1"/>
      <c r="G150" s="1"/>
      <c r="H150" s="1"/>
    </row>
    <row r="151" spans="1:8" x14ac:dyDescent="0.25">
      <c r="A151" t="str">
        <f>IFERROR(INDEX('Orders &amp; Payments'!$A$2:$A$500,MATCH($E151,'Orders &amp; Payments'!$J$2:$J$500,0)),"")</f>
        <v/>
      </c>
      <c r="B151" t="str">
        <f>IFERROR(INDEX('Orders &amp; Payments'!$B$2:$B$500,MATCH($E151,'Orders &amp; Payments'!$J$2:$J$500,0)),"")</f>
        <v/>
      </c>
      <c r="C151" t="str">
        <f>IFERROR(INDEX('Orders &amp; Payments'!$I$2:$I$500,MATCH($E151,'Orders &amp; Payments'!$J$2:$J$500,0)),"")</f>
        <v/>
      </c>
      <c r="D151" t="str">
        <f>IFERROR(INDEX('Orders &amp; Payments'!$H$2:$H$500,MATCH($E151,'Orders &amp; Payments'!$J$2:$J$500,0)),"")</f>
        <v/>
      </c>
      <c r="E151" s="1"/>
      <c r="F151" s="1"/>
      <c r="G151" s="1"/>
      <c r="H151" s="1"/>
    </row>
    <row r="152" spans="1:8" x14ac:dyDescent="0.25">
      <c r="A152" t="str">
        <f>IFERROR(INDEX('Orders &amp; Payments'!$A$2:$A$500,MATCH($E152,'Orders &amp; Payments'!$J$2:$J$500,0)),"")</f>
        <v/>
      </c>
      <c r="B152" t="str">
        <f>IFERROR(INDEX('Orders &amp; Payments'!$B$2:$B$500,MATCH($E152,'Orders &amp; Payments'!$J$2:$J$500,0)),"")</f>
        <v/>
      </c>
      <c r="C152" t="str">
        <f>IFERROR(INDEX('Orders &amp; Payments'!$I$2:$I$500,MATCH($E152,'Orders &amp; Payments'!$J$2:$J$500,0)),"")</f>
        <v/>
      </c>
      <c r="D152" t="str">
        <f>IFERROR(INDEX('Orders &amp; Payments'!$H$2:$H$500,MATCH($E152,'Orders &amp; Payments'!$J$2:$J$500,0)),"")</f>
        <v/>
      </c>
      <c r="E152" s="1"/>
      <c r="F152" s="1"/>
      <c r="G152" s="1"/>
      <c r="H152" s="1"/>
    </row>
    <row r="153" spans="1:8" x14ac:dyDescent="0.25">
      <c r="A153" t="str">
        <f>IFERROR(INDEX('Orders &amp; Payments'!$A$2:$A$500,MATCH($E153,'Orders &amp; Payments'!$J$2:$J$500,0)),"")</f>
        <v/>
      </c>
      <c r="B153" t="str">
        <f>IFERROR(INDEX('Orders &amp; Payments'!$B$2:$B$500,MATCH($E153,'Orders &amp; Payments'!$J$2:$J$500,0)),"")</f>
        <v/>
      </c>
      <c r="C153" t="str">
        <f>IFERROR(INDEX('Orders &amp; Payments'!$I$2:$I$500,MATCH($E153,'Orders &amp; Payments'!$J$2:$J$500,0)),"")</f>
        <v/>
      </c>
      <c r="D153" t="str">
        <f>IFERROR(INDEX('Orders &amp; Payments'!$H$2:$H$500,MATCH($E153,'Orders &amp; Payments'!$J$2:$J$500,0)),"")</f>
        <v/>
      </c>
      <c r="E153" s="1"/>
      <c r="F153" s="1"/>
      <c r="G153" s="1"/>
      <c r="H153" s="1"/>
    </row>
    <row r="154" spans="1:8" x14ac:dyDescent="0.25">
      <c r="A154" t="str">
        <f>IFERROR(INDEX('Orders &amp; Payments'!$A$2:$A$500,MATCH($E154,'Orders &amp; Payments'!$J$2:$J$500,0)),"")</f>
        <v/>
      </c>
      <c r="B154" t="str">
        <f>IFERROR(INDEX('Orders &amp; Payments'!$B$2:$B$500,MATCH($E154,'Orders &amp; Payments'!$J$2:$J$500,0)),"")</f>
        <v/>
      </c>
      <c r="C154" t="str">
        <f>IFERROR(INDEX('Orders &amp; Payments'!$I$2:$I$500,MATCH($E154,'Orders &amp; Payments'!$J$2:$J$500,0)),"")</f>
        <v/>
      </c>
      <c r="D154" t="str">
        <f>IFERROR(INDEX('Orders &amp; Payments'!$H$2:$H$500,MATCH($E154,'Orders &amp; Payments'!$J$2:$J$500,0)),"")</f>
        <v/>
      </c>
      <c r="E154" s="1"/>
      <c r="F154" s="1"/>
      <c r="G154" s="1"/>
      <c r="H154" s="1"/>
    </row>
    <row r="155" spans="1:8" x14ac:dyDescent="0.25">
      <c r="A155" t="str">
        <f>IFERROR(INDEX('Orders &amp; Payments'!$A$2:$A$500,MATCH($E155,'Orders &amp; Payments'!$J$2:$J$500,0)),"")</f>
        <v/>
      </c>
      <c r="B155" t="str">
        <f>IFERROR(INDEX('Orders &amp; Payments'!$B$2:$B$500,MATCH($E155,'Orders &amp; Payments'!$J$2:$J$500,0)),"")</f>
        <v/>
      </c>
      <c r="C155" t="str">
        <f>IFERROR(INDEX('Orders &amp; Payments'!$I$2:$I$500,MATCH($E155,'Orders &amp; Payments'!$J$2:$J$500,0)),"")</f>
        <v/>
      </c>
      <c r="D155" t="str">
        <f>IFERROR(INDEX('Orders &amp; Payments'!$H$2:$H$500,MATCH($E155,'Orders &amp; Payments'!$J$2:$J$500,0)),"")</f>
        <v/>
      </c>
      <c r="E155" s="1"/>
      <c r="F155" s="1"/>
      <c r="G155" s="1"/>
      <c r="H155" s="1"/>
    </row>
    <row r="156" spans="1:8" x14ac:dyDescent="0.25">
      <c r="A156" t="str">
        <f>IFERROR(INDEX('Orders &amp; Payments'!$A$2:$A$500,MATCH($E156,'Orders &amp; Payments'!$J$2:$J$500,0)),"")</f>
        <v/>
      </c>
      <c r="B156" t="str">
        <f>IFERROR(INDEX('Orders &amp; Payments'!$B$2:$B$500,MATCH($E156,'Orders &amp; Payments'!$J$2:$J$500,0)),"")</f>
        <v/>
      </c>
      <c r="C156" t="str">
        <f>IFERROR(INDEX('Orders &amp; Payments'!$I$2:$I$500,MATCH($E156,'Orders &amp; Payments'!$J$2:$J$500,0)),"")</f>
        <v/>
      </c>
      <c r="D156" t="str">
        <f>IFERROR(INDEX('Orders &amp; Payments'!$H$2:$H$500,MATCH($E156,'Orders &amp; Payments'!$J$2:$J$500,0)),"")</f>
        <v/>
      </c>
      <c r="E156" s="1"/>
      <c r="F156" s="1"/>
      <c r="G156" s="1"/>
      <c r="H156" s="1"/>
    </row>
    <row r="157" spans="1:8" x14ac:dyDescent="0.25">
      <c r="A157" t="str">
        <f>IFERROR(INDEX('Orders &amp; Payments'!$A$2:$A$500,MATCH($E157,'Orders &amp; Payments'!$J$2:$J$500,0)),"")</f>
        <v/>
      </c>
      <c r="B157" t="str">
        <f>IFERROR(INDEX('Orders &amp; Payments'!$B$2:$B$500,MATCH($E157,'Orders &amp; Payments'!$J$2:$J$500,0)),"")</f>
        <v/>
      </c>
      <c r="C157" t="str">
        <f>IFERROR(INDEX('Orders &amp; Payments'!$I$2:$I$500,MATCH($E157,'Orders &amp; Payments'!$J$2:$J$500,0)),"")</f>
        <v/>
      </c>
      <c r="D157" t="str">
        <f>IFERROR(INDEX('Orders &amp; Payments'!$H$2:$H$500,MATCH($E157,'Orders &amp; Payments'!$J$2:$J$500,0)),"")</f>
        <v/>
      </c>
      <c r="E157" s="1"/>
      <c r="F157" s="1"/>
      <c r="G157" s="1"/>
      <c r="H157" s="1"/>
    </row>
    <row r="158" spans="1:8" x14ac:dyDescent="0.25">
      <c r="A158" t="str">
        <f>IFERROR(INDEX('Orders &amp; Payments'!$A$2:$A$500,MATCH($E158,'Orders &amp; Payments'!$J$2:$J$500,0)),"")</f>
        <v/>
      </c>
      <c r="B158" t="str">
        <f>IFERROR(INDEX('Orders &amp; Payments'!$B$2:$B$500,MATCH($E158,'Orders &amp; Payments'!$J$2:$J$500,0)),"")</f>
        <v/>
      </c>
      <c r="C158" t="str">
        <f>IFERROR(INDEX('Orders &amp; Payments'!$I$2:$I$500,MATCH($E158,'Orders &amp; Payments'!$J$2:$J$500,0)),"")</f>
        <v/>
      </c>
      <c r="D158" t="str">
        <f>IFERROR(INDEX('Orders &amp; Payments'!$H$2:$H$500,MATCH($E158,'Orders &amp; Payments'!$J$2:$J$500,0)),"")</f>
        <v/>
      </c>
      <c r="E158" s="1"/>
      <c r="F158" s="1"/>
      <c r="G158" s="1"/>
      <c r="H158" s="1"/>
    </row>
    <row r="159" spans="1:8" x14ac:dyDescent="0.25">
      <c r="A159" t="str">
        <f>IFERROR(INDEX('Orders &amp; Payments'!$A$2:$A$500,MATCH($E159,'Orders &amp; Payments'!$J$2:$J$500,0)),"")</f>
        <v/>
      </c>
      <c r="B159" t="str">
        <f>IFERROR(INDEX('Orders &amp; Payments'!$B$2:$B$500,MATCH($E159,'Orders &amp; Payments'!$J$2:$J$500,0)),"")</f>
        <v/>
      </c>
      <c r="C159" t="str">
        <f>IFERROR(INDEX('Orders &amp; Payments'!$I$2:$I$500,MATCH($E159,'Orders &amp; Payments'!$J$2:$J$500,0)),"")</f>
        <v/>
      </c>
      <c r="D159" t="str">
        <f>IFERROR(INDEX('Orders &amp; Payments'!$H$2:$H$500,MATCH($E159,'Orders &amp; Payments'!$J$2:$J$500,0)),"")</f>
        <v/>
      </c>
      <c r="E159" s="1"/>
      <c r="F159" s="1"/>
      <c r="G159" s="1"/>
      <c r="H159" s="1"/>
    </row>
    <row r="160" spans="1:8" x14ac:dyDescent="0.25">
      <c r="A160" t="str">
        <f>IFERROR(INDEX('Orders &amp; Payments'!$A$2:$A$500,MATCH($E160,'Orders &amp; Payments'!$J$2:$J$500,0)),"")</f>
        <v/>
      </c>
      <c r="B160" t="str">
        <f>IFERROR(INDEX('Orders &amp; Payments'!$B$2:$B$500,MATCH($E160,'Orders &amp; Payments'!$J$2:$J$500,0)),"")</f>
        <v/>
      </c>
      <c r="C160" t="str">
        <f>IFERROR(INDEX('Orders &amp; Payments'!$I$2:$I$500,MATCH($E160,'Orders &amp; Payments'!$J$2:$J$500,0)),"")</f>
        <v/>
      </c>
      <c r="D160" t="str">
        <f>IFERROR(INDEX('Orders &amp; Payments'!$H$2:$H$500,MATCH($E160,'Orders &amp; Payments'!$J$2:$J$500,0)),"")</f>
        <v/>
      </c>
      <c r="E160" s="1"/>
      <c r="F160" s="1"/>
      <c r="G160" s="1"/>
      <c r="H160" s="1"/>
    </row>
    <row r="161" spans="1:8" x14ac:dyDescent="0.25">
      <c r="A161" t="str">
        <f>IFERROR(INDEX('Orders &amp; Payments'!$A$2:$A$500,MATCH($E161,'Orders &amp; Payments'!$J$2:$J$500,0)),"")</f>
        <v/>
      </c>
      <c r="B161" t="str">
        <f>IFERROR(INDEX('Orders &amp; Payments'!$B$2:$B$500,MATCH($E161,'Orders &amp; Payments'!$J$2:$J$500,0)),"")</f>
        <v/>
      </c>
      <c r="C161" t="str">
        <f>IFERROR(INDEX('Orders &amp; Payments'!$I$2:$I$500,MATCH($E161,'Orders &amp; Payments'!$J$2:$J$500,0)),"")</f>
        <v/>
      </c>
      <c r="D161" t="str">
        <f>IFERROR(INDEX('Orders &amp; Payments'!$H$2:$H$500,MATCH($E161,'Orders &amp; Payments'!$J$2:$J$500,0)),"")</f>
        <v/>
      </c>
      <c r="E161" s="1"/>
      <c r="F161" s="1"/>
      <c r="G161" s="1"/>
      <c r="H161" s="1"/>
    </row>
    <row r="162" spans="1:8" x14ac:dyDescent="0.25">
      <c r="A162" t="str">
        <f>IFERROR(INDEX('Orders &amp; Payments'!$A$2:$A$500,MATCH($E162,'Orders &amp; Payments'!$J$2:$J$500,0)),"")</f>
        <v/>
      </c>
      <c r="B162" t="str">
        <f>IFERROR(INDEX('Orders &amp; Payments'!$B$2:$B$500,MATCH($E162,'Orders &amp; Payments'!$J$2:$J$500,0)),"")</f>
        <v/>
      </c>
      <c r="C162" t="str">
        <f>IFERROR(INDEX('Orders &amp; Payments'!$I$2:$I$500,MATCH($E162,'Orders &amp; Payments'!$J$2:$J$500,0)),"")</f>
        <v/>
      </c>
      <c r="D162" t="str">
        <f>IFERROR(INDEX('Orders &amp; Payments'!$H$2:$H$500,MATCH($E162,'Orders &amp; Payments'!$J$2:$J$500,0)),"")</f>
        <v/>
      </c>
      <c r="E162" s="1"/>
      <c r="F162" s="1"/>
      <c r="G162" s="1"/>
      <c r="H162" s="1"/>
    </row>
    <row r="163" spans="1:8" x14ac:dyDescent="0.25">
      <c r="A163" t="str">
        <f>IFERROR(INDEX('Orders &amp; Payments'!$A$2:$A$500,MATCH($E163,'Orders &amp; Payments'!$J$2:$J$500,0)),"")</f>
        <v/>
      </c>
      <c r="B163" t="str">
        <f>IFERROR(INDEX('Orders &amp; Payments'!$B$2:$B$500,MATCH($E163,'Orders &amp; Payments'!$J$2:$J$500,0)),"")</f>
        <v/>
      </c>
      <c r="C163" t="str">
        <f>IFERROR(INDEX('Orders &amp; Payments'!$I$2:$I$500,MATCH($E163,'Orders &amp; Payments'!$J$2:$J$500,0)),"")</f>
        <v/>
      </c>
      <c r="D163" t="str">
        <f>IFERROR(INDEX('Orders &amp; Payments'!$H$2:$H$500,MATCH($E163,'Orders &amp; Payments'!$J$2:$J$500,0)),"")</f>
        <v/>
      </c>
      <c r="E163" s="1"/>
      <c r="F163" s="1"/>
      <c r="G163" s="1"/>
      <c r="H163" s="1"/>
    </row>
    <row r="164" spans="1:8" x14ac:dyDescent="0.25">
      <c r="A164" t="str">
        <f>IFERROR(INDEX('Orders &amp; Payments'!$A$2:$A$500,MATCH($E164,'Orders &amp; Payments'!$J$2:$J$500,0)),"")</f>
        <v/>
      </c>
      <c r="B164" t="str">
        <f>IFERROR(INDEX('Orders &amp; Payments'!$B$2:$B$500,MATCH($E164,'Orders &amp; Payments'!$J$2:$J$500,0)),"")</f>
        <v/>
      </c>
      <c r="C164" t="str">
        <f>IFERROR(INDEX('Orders &amp; Payments'!$I$2:$I$500,MATCH($E164,'Orders &amp; Payments'!$J$2:$J$500,0)),"")</f>
        <v/>
      </c>
      <c r="D164" t="str">
        <f>IFERROR(INDEX('Orders &amp; Payments'!$H$2:$H$500,MATCH($E164,'Orders &amp; Payments'!$J$2:$J$500,0)),"")</f>
        <v/>
      </c>
      <c r="E164" s="1"/>
      <c r="F164" s="1"/>
      <c r="G164" s="1"/>
      <c r="H164" s="1"/>
    </row>
    <row r="165" spans="1:8" x14ac:dyDescent="0.25">
      <c r="A165" t="str">
        <f>IFERROR(INDEX('Orders &amp; Payments'!$A$2:$A$500,MATCH($E165,'Orders &amp; Payments'!$J$2:$J$500,0)),"")</f>
        <v/>
      </c>
      <c r="B165" t="str">
        <f>IFERROR(INDEX('Orders &amp; Payments'!$B$2:$B$500,MATCH($E165,'Orders &amp; Payments'!$J$2:$J$500,0)),"")</f>
        <v/>
      </c>
      <c r="C165" t="str">
        <f>IFERROR(INDEX('Orders &amp; Payments'!$I$2:$I$500,MATCH($E165,'Orders &amp; Payments'!$J$2:$J$500,0)),"")</f>
        <v/>
      </c>
      <c r="D165" t="str">
        <f>IFERROR(INDEX('Orders &amp; Payments'!$H$2:$H$500,MATCH($E165,'Orders &amp; Payments'!$J$2:$J$500,0)),"")</f>
        <v/>
      </c>
      <c r="E165" s="1"/>
      <c r="F165" s="1"/>
      <c r="G165" s="1"/>
      <c r="H165" s="1"/>
    </row>
    <row r="166" spans="1:8" x14ac:dyDescent="0.25">
      <c r="A166" t="str">
        <f>IFERROR(INDEX('Orders &amp; Payments'!$A$2:$A$500,MATCH($E166,'Orders &amp; Payments'!$J$2:$J$500,0)),"")</f>
        <v/>
      </c>
      <c r="B166" t="str">
        <f>IFERROR(INDEX('Orders &amp; Payments'!$B$2:$B$500,MATCH($E166,'Orders &amp; Payments'!$J$2:$J$500,0)),"")</f>
        <v/>
      </c>
      <c r="C166" t="str">
        <f>IFERROR(INDEX('Orders &amp; Payments'!$I$2:$I$500,MATCH($E166,'Orders &amp; Payments'!$J$2:$J$500,0)),"")</f>
        <v/>
      </c>
      <c r="D166" t="str">
        <f>IFERROR(INDEX('Orders &amp; Payments'!$H$2:$H$500,MATCH($E166,'Orders &amp; Payments'!$J$2:$J$500,0)),"")</f>
        <v/>
      </c>
      <c r="E166" s="1"/>
      <c r="F166" s="1"/>
      <c r="G166" s="1"/>
      <c r="H166" s="1"/>
    </row>
    <row r="167" spans="1:8" x14ac:dyDescent="0.25">
      <c r="A167" t="str">
        <f>IFERROR(INDEX('Orders &amp; Payments'!$A$2:$A$500,MATCH($E167,'Orders &amp; Payments'!$J$2:$J$500,0)),"")</f>
        <v/>
      </c>
      <c r="B167" t="str">
        <f>IFERROR(INDEX('Orders &amp; Payments'!$B$2:$B$500,MATCH($E167,'Orders &amp; Payments'!$J$2:$J$500,0)),"")</f>
        <v/>
      </c>
      <c r="C167" t="str">
        <f>IFERROR(INDEX('Orders &amp; Payments'!$I$2:$I$500,MATCH($E167,'Orders &amp; Payments'!$J$2:$J$500,0)),"")</f>
        <v/>
      </c>
      <c r="D167" t="str">
        <f>IFERROR(INDEX('Orders &amp; Payments'!$H$2:$H$500,MATCH($E167,'Orders &amp; Payments'!$J$2:$J$500,0)),"")</f>
        <v/>
      </c>
      <c r="E167" s="1"/>
      <c r="F167" s="1"/>
      <c r="G167" s="1"/>
      <c r="H167" s="1"/>
    </row>
    <row r="168" spans="1:8" x14ac:dyDescent="0.25">
      <c r="A168" t="str">
        <f>IFERROR(INDEX('Orders &amp; Payments'!$A$2:$A$500,MATCH($E168,'Orders &amp; Payments'!$J$2:$J$500,0)),"")</f>
        <v/>
      </c>
      <c r="B168" t="str">
        <f>IFERROR(INDEX('Orders &amp; Payments'!$B$2:$B$500,MATCH($E168,'Orders &amp; Payments'!$J$2:$J$500,0)),"")</f>
        <v/>
      </c>
      <c r="C168" t="str">
        <f>IFERROR(INDEX('Orders &amp; Payments'!$I$2:$I$500,MATCH($E168,'Orders &amp; Payments'!$J$2:$J$500,0)),"")</f>
        <v/>
      </c>
      <c r="D168" t="str">
        <f>IFERROR(INDEX('Orders &amp; Payments'!$H$2:$H$500,MATCH($E168,'Orders &amp; Payments'!$J$2:$J$500,0)),"")</f>
        <v/>
      </c>
      <c r="E168" s="1"/>
      <c r="F168" s="1"/>
      <c r="G168" s="1"/>
      <c r="H168" s="1"/>
    </row>
    <row r="169" spans="1:8" x14ac:dyDescent="0.25">
      <c r="A169" t="str">
        <f>IFERROR(INDEX('Orders &amp; Payments'!$A$2:$A$500,MATCH($E169,'Orders &amp; Payments'!$J$2:$J$500,0)),"")</f>
        <v/>
      </c>
      <c r="B169" t="str">
        <f>IFERROR(INDEX('Orders &amp; Payments'!$B$2:$B$500,MATCH($E169,'Orders &amp; Payments'!$J$2:$J$500,0)),"")</f>
        <v/>
      </c>
      <c r="C169" t="str">
        <f>IFERROR(INDEX('Orders &amp; Payments'!$I$2:$I$500,MATCH($E169,'Orders &amp; Payments'!$J$2:$J$500,0)),"")</f>
        <v/>
      </c>
      <c r="D169" t="str">
        <f>IFERROR(INDEX('Orders &amp; Payments'!$H$2:$H$500,MATCH($E169,'Orders &amp; Payments'!$J$2:$J$500,0)),"")</f>
        <v/>
      </c>
      <c r="E169" s="1"/>
      <c r="F169" s="1"/>
      <c r="G169" s="1"/>
      <c r="H169" s="1"/>
    </row>
    <row r="170" spans="1:8" x14ac:dyDescent="0.25">
      <c r="A170" t="str">
        <f>IFERROR(INDEX('Orders &amp; Payments'!$A$2:$A$500,MATCH($E170,'Orders &amp; Payments'!$J$2:$J$500,0)),"")</f>
        <v/>
      </c>
      <c r="B170" t="str">
        <f>IFERROR(INDEX('Orders &amp; Payments'!$B$2:$B$500,MATCH($E170,'Orders &amp; Payments'!$J$2:$J$500,0)),"")</f>
        <v/>
      </c>
      <c r="C170" t="str">
        <f>IFERROR(INDEX('Orders &amp; Payments'!$I$2:$I$500,MATCH($E170,'Orders &amp; Payments'!$J$2:$J$500,0)),"")</f>
        <v/>
      </c>
      <c r="D170" t="str">
        <f>IFERROR(INDEX('Orders &amp; Payments'!$H$2:$H$500,MATCH($E170,'Orders &amp; Payments'!$J$2:$J$500,0)),"")</f>
        <v/>
      </c>
      <c r="E170" s="1"/>
      <c r="F170" s="1"/>
      <c r="G170" s="1"/>
      <c r="H170" s="1"/>
    </row>
    <row r="171" spans="1:8" x14ac:dyDescent="0.25">
      <c r="A171" t="str">
        <f>IFERROR(INDEX('Orders &amp; Payments'!$A$2:$A$500,MATCH($E171,'Orders &amp; Payments'!$J$2:$J$500,0)),"")</f>
        <v/>
      </c>
      <c r="B171" t="str">
        <f>IFERROR(INDEX('Orders &amp; Payments'!$B$2:$B$500,MATCH($E171,'Orders &amp; Payments'!$J$2:$J$500,0)),"")</f>
        <v/>
      </c>
      <c r="C171" t="str">
        <f>IFERROR(INDEX('Orders &amp; Payments'!$I$2:$I$500,MATCH($E171,'Orders &amp; Payments'!$J$2:$J$500,0)),"")</f>
        <v/>
      </c>
      <c r="D171" t="str">
        <f>IFERROR(INDEX('Orders &amp; Payments'!$H$2:$H$500,MATCH($E171,'Orders &amp; Payments'!$J$2:$J$500,0)),"")</f>
        <v/>
      </c>
      <c r="E171" s="1"/>
      <c r="F171" s="1"/>
      <c r="G171" s="1"/>
      <c r="H171" s="1"/>
    </row>
    <row r="172" spans="1:8" x14ac:dyDescent="0.25">
      <c r="A172" t="str">
        <f>IFERROR(INDEX('Orders &amp; Payments'!$A$2:$A$500,MATCH($E172,'Orders &amp; Payments'!$J$2:$J$500,0)),"")</f>
        <v/>
      </c>
      <c r="B172" t="str">
        <f>IFERROR(INDEX('Orders &amp; Payments'!$B$2:$B$500,MATCH($E172,'Orders &amp; Payments'!$J$2:$J$500,0)),"")</f>
        <v/>
      </c>
      <c r="C172" t="str">
        <f>IFERROR(INDEX('Orders &amp; Payments'!$I$2:$I$500,MATCH($E172,'Orders &amp; Payments'!$J$2:$J$500,0)),"")</f>
        <v/>
      </c>
      <c r="D172" t="str">
        <f>IFERROR(INDEX('Orders &amp; Payments'!$H$2:$H$500,MATCH($E172,'Orders &amp; Payments'!$J$2:$J$500,0)),"")</f>
        <v/>
      </c>
      <c r="E172" s="1"/>
      <c r="F172" s="1"/>
      <c r="G172" s="1"/>
      <c r="H172" s="1"/>
    </row>
    <row r="173" spans="1:8" x14ac:dyDescent="0.25">
      <c r="A173" t="str">
        <f>IFERROR(INDEX('Orders &amp; Payments'!$A$2:$A$500,MATCH($E173,'Orders &amp; Payments'!$J$2:$J$500,0)),"")</f>
        <v/>
      </c>
      <c r="B173" t="str">
        <f>IFERROR(INDEX('Orders &amp; Payments'!$B$2:$B$500,MATCH($E173,'Orders &amp; Payments'!$J$2:$J$500,0)),"")</f>
        <v/>
      </c>
      <c r="C173" t="str">
        <f>IFERROR(INDEX('Orders &amp; Payments'!$I$2:$I$500,MATCH($E173,'Orders &amp; Payments'!$J$2:$J$500,0)),"")</f>
        <v/>
      </c>
      <c r="D173" t="str">
        <f>IFERROR(INDEX('Orders &amp; Payments'!$H$2:$H$500,MATCH($E173,'Orders &amp; Payments'!$J$2:$J$500,0)),"")</f>
        <v/>
      </c>
      <c r="E173" s="1"/>
      <c r="F173" s="1"/>
      <c r="G173" s="1"/>
      <c r="H173" s="1"/>
    </row>
    <row r="174" spans="1:8" x14ac:dyDescent="0.25">
      <c r="A174" t="str">
        <f>IFERROR(INDEX('Orders &amp; Payments'!$A$2:$A$500,MATCH($E174,'Orders &amp; Payments'!$J$2:$J$500,0)),"")</f>
        <v/>
      </c>
      <c r="B174" t="str">
        <f>IFERROR(INDEX('Orders &amp; Payments'!$B$2:$B$500,MATCH($E174,'Orders &amp; Payments'!$J$2:$J$500,0)),"")</f>
        <v/>
      </c>
      <c r="C174" t="str">
        <f>IFERROR(INDEX('Orders &amp; Payments'!$I$2:$I$500,MATCH($E174,'Orders &amp; Payments'!$J$2:$J$500,0)),"")</f>
        <v/>
      </c>
      <c r="D174" t="str">
        <f>IFERROR(INDEX('Orders &amp; Payments'!$H$2:$H$500,MATCH($E174,'Orders &amp; Payments'!$J$2:$J$500,0)),"")</f>
        <v/>
      </c>
      <c r="E174" s="1"/>
      <c r="F174" s="1"/>
      <c r="G174" s="1"/>
      <c r="H174" s="1"/>
    </row>
    <row r="175" spans="1:8" x14ac:dyDescent="0.25">
      <c r="A175" t="str">
        <f>IFERROR(INDEX('Orders &amp; Payments'!$A$2:$A$500,MATCH($E175,'Orders &amp; Payments'!$J$2:$J$500,0)),"")</f>
        <v/>
      </c>
      <c r="B175" t="str">
        <f>IFERROR(INDEX('Orders &amp; Payments'!$B$2:$B$500,MATCH($E175,'Orders &amp; Payments'!$J$2:$J$500,0)),"")</f>
        <v/>
      </c>
      <c r="C175" t="str">
        <f>IFERROR(INDEX('Orders &amp; Payments'!$I$2:$I$500,MATCH($E175,'Orders &amp; Payments'!$J$2:$J$500,0)),"")</f>
        <v/>
      </c>
      <c r="D175" t="str">
        <f>IFERROR(INDEX('Orders &amp; Payments'!$H$2:$H$500,MATCH($E175,'Orders &amp; Payments'!$J$2:$J$500,0)),"")</f>
        <v/>
      </c>
      <c r="E175" s="1"/>
      <c r="F175" s="1"/>
      <c r="G175" s="1"/>
      <c r="H175" s="1"/>
    </row>
    <row r="176" spans="1:8" x14ac:dyDescent="0.25">
      <c r="A176" t="str">
        <f>IFERROR(INDEX('Orders &amp; Payments'!$A$2:$A$500,MATCH($E176,'Orders &amp; Payments'!$J$2:$J$500,0)),"")</f>
        <v/>
      </c>
      <c r="B176" t="str">
        <f>IFERROR(INDEX('Orders &amp; Payments'!$B$2:$B$500,MATCH($E176,'Orders &amp; Payments'!$J$2:$J$500,0)),"")</f>
        <v/>
      </c>
      <c r="C176" t="str">
        <f>IFERROR(INDEX('Orders &amp; Payments'!$I$2:$I$500,MATCH($E176,'Orders &amp; Payments'!$J$2:$J$500,0)),"")</f>
        <v/>
      </c>
      <c r="D176" t="str">
        <f>IFERROR(INDEX('Orders &amp; Payments'!$H$2:$H$500,MATCH($E176,'Orders &amp; Payments'!$J$2:$J$500,0)),"")</f>
        <v/>
      </c>
      <c r="E176" s="1"/>
      <c r="F176" s="1"/>
      <c r="G176" s="1"/>
      <c r="H176" s="1"/>
    </row>
    <row r="177" spans="1:8" x14ac:dyDescent="0.25">
      <c r="A177" t="str">
        <f>IFERROR(INDEX('Orders &amp; Payments'!$A$2:$A$500,MATCH($E177,'Orders &amp; Payments'!$J$2:$J$500,0)),"")</f>
        <v/>
      </c>
      <c r="B177" t="str">
        <f>IFERROR(INDEX('Orders &amp; Payments'!$B$2:$B$500,MATCH($E177,'Orders &amp; Payments'!$J$2:$J$500,0)),"")</f>
        <v/>
      </c>
      <c r="C177" t="str">
        <f>IFERROR(INDEX('Orders &amp; Payments'!$I$2:$I$500,MATCH($E177,'Orders &amp; Payments'!$J$2:$J$500,0)),"")</f>
        <v/>
      </c>
      <c r="D177" t="str">
        <f>IFERROR(INDEX('Orders &amp; Payments'!$H$2:$H$500,MATCH($E177,'Orders &amp; Payments'!$J$2:$J$500,0)),"")</f>
        <v/>
      </c>
      <c r="E177" s="1"/>
      <c r="F177" s="1"/>
      <c r="G177" s="1"/>
      <c r="H177" s="1"/>
    </row>
    <row r="178" spans="1:8" x14ac:dyDescent="0.25">
      <c r="A178" t="str">
        <f>IFERROR(INDEX('Orders &amp; Payments'!$A$2:$A$500,MATCH($E178,'Orders &amp; Payments'!$J$2:$J$500,0)),"")</f>
        <v/>
      </c>
      <c r="B178" t="str">
        <f>IFERROR(INDEX('Orders &amp; Payments'!$B$2:$B$500,MATCH($E178,'Orders &amp; Payments'!$J$2:$J$500,0)),"")</f>
        <v/>
      </c>
      <c r="C178" t="str">
        <f>IFERROR(INDEX('Orders &amp; Payments'!$I$2:$I$500,MATCH($E178,'Orders &amp; Payments'!$J$2:$J$500,0)),"")</f>
        <v/>
      </c>
      <c r="D178" t="str">
        <f>IFERROR(INDEX('Orders &amp; Payments'!$H$2:$H$500,MATCH($E178,'Orders &amp; Payments'!$J$2:$J$500,0)),"")</f>
        <v/>
      </c>
      <c r="E178" s="1"/>
      <c r="F178" s="1"/>
      <c r="G178" s="1"/>
      <c r="H178" s="1"/>
    </row>
    <row r="179" spans="1:8" x14ac:dyDescent="0.25">
      <c r="A179" t="str">
        <f>IFERROR(INDEX('Orders &amp; Payments'!$A$2:$A$500,MATCH($E179,'Orders &amp; Payments'!$J$2:$J$500,0)),"")</f>
        <v/>
      </c>
      <c r="B179" t="str">
        <f>IFERROR(INDEX('Orders &amp; Payments'!$B$2:$B$500,MATCH($E179,'Orders &amp; Payments'!$J$2:$J$500,0)),"")</f>
        <v/>
      </c>
      <c r="C179" t="str">
        <f>IFERROR(INDEX('Orders &amp; Payments'!$I$2:$I$500,MATCH($E179,'Orders &amp; Payments'!$J$2:$J$500,0)),"")</f>
        <v/>
      </c>
      <c r="D179" t="str">
        <f>IFERROR(INDEX('Orders &amp; Payments'!$H$2:$H$500,MATCH($E179,'Orders &amp; Payments'!$J$2:$J$500,0)),"")</f>
        <v/>
      </c>
      <c r="E179" s="1"/>
      <c r="F179" s="1"/>
      <c r="G179" s="1"/>
      <c r="H179" s="1"/>
    </row>
    <row r="180" spans="1:8" x14ac:dyDescent="0.25">
      <c r="A180" t="str">
        <f>IFERROR(INDEX('Orders &amp; Payments'!$A$2:$A$500,MATCH($E180,'Orders &amp; Payments'!$J$2:$J$500,0)),"")</f>
        <v/>
      </c>
      <c r="B180" t="str">
        <f>IFERROR(INDEX('Orders &amp; Payments'!$B$2:$B$500,MATCH($E180,'Orders &amp; Payments'!$J$2:$J$500,0)),"")</f>
        <v/>
      </c>
      <c r="C180" t="str">
        <f>IFERROR(INDEX('Orders &amp; Payments'!$I$2:$I$500,MATCH($E180,'Orders &amp; Payments'!$J$2:$J$500,0)),"")</f>
        <v/>
      </c>
      <c r="D180" t="str">
        <f>IFERROR(INDEX('Orders &amp; Payments'!$H$2:$H$500,MATCH($E180,'Orders &amp; Payments'!$J$2:$J$500,0)),"")</f>
        <v/>
      </c>
      <c r="E180" s="1"/>
      <c r="F180" s="1"/>
      <c r="G180" s="1"/>
      <c r="H180" s="1"/>
    </row>
    <row r="181" spans="1:8" x14ac:dyDescent="0.25">
      <c r="A181" t="str">
        <f>IFERROR(INDEX('Orders &amp; Payments'!$A$2:$A$500,MATCH($E181,'Orders &amp; Payments'!$J$2:$J$500,0)),"")</f>
        <v/>
      </c>
      <c r="B181" t="str">
        <f>IFERROR(INDEX('Orders &amp; Payments'!$B$2:$B$500,MATCH($E181,'Orders &amp; Payments'!$J$2:$J$500,0)),"")</f>
        <v/>
      </c>
      <c r="C181" t="str">
        <f>IFERROR(INDEX('Orders &amp; Payments'!$I$2:$I$500,MATCH($E181,'Orders &amp; Payments'!$J$2:$J$500,0)),"")</f>
        <v/>
      </c>
      <c r="D181" t="str">
        <f>IFERROR(INDEX('Orders &amp; Payments'!$H$2:$H$500,MATCH($E181,'Orders &amp; Payments'!$J$2:$J$500,0)),"")</f>
        <v/>
      </c>
      <c r="E181" s="1"/>
      <c r="F181" s="1"/>
      <c r="G181" s="1"/>
      <c r="H181" s="1"/>
    </row>
    <row r="182" spans="1:8" x14ac:dyDescent="0.25">
      <c r="A182" t="str">
        <f>IFERROR(INDEX('Orders &amp; Payments'!$A$2:$A$500,MATCH($E182,'Orders &amp; Payments'!$J$2:$J$500,0)),"")</f>
        <v/>
      </c>
      <c r="B182" t="str">
        <f>IFERROR(INDEX('Orders &amp; Payments'!$B$2:$B$500,MATCH($E182,'Orders &amp; Payments'!$J$2:$J$500,0)),"")</f>
        <v/>
      </c>
      <c r="C182" t="str">
        <f>IFERROR(INDEX('Orders &amp; Payments'!$I$2:$I$500,MATCH($E182,'Orders &amp; Payments'!$J$2:$J$500,0)),"")</f>
        <v/>
      </c>
      <c r="D182" t="str">
        <f>IFERROR(INDEX('Orders &amp; Payments'!$H$2:$H$500,MATCH($E182,'Orders &amp; Payments'!$J$2:$J$500,0)),"")</f>
        <v/>
      </c>
      <c r="E182" s="1"/>
      <c r="F182" s="1"/>
      <c r="G182" s="1"/>
      <c r="H182" s="1"/>
    </row>
    <row r="183" spans="1:8" x14ac:dyDescent="0.25">
      <c r="A183" t="str">
        <f>IFERROR(INDEX('Orders &amp; Payments'!$A$2:$A$500,MATCH($E183,'Orders &amp; Payments'!$J$2:$J$500,0)),"")</f>
        <v/>
      </c>
      <c r="B183" t="str">
        <f>IFERROR(INDEX('Orders &amp; Payments'!$B$2:$B$500,MATCH($E183,'Orders &amp; Payments'!$J$2:$J$500,0)),"")</f>
        <v/>
      </c>
      <c r="C183" t="str">
        <f>IFERROR(INDEX('Orders &amp; Payments'!$I$2:$I$500,MATCH($E183,'Orders &amp; Payments'!$J$2:$J$500,0)),"")</f>
        <v/>
      </c>
      <c r="D183" t="str">
        <f>IFERROR(INDEX('Orders &amp; Payments'!$H$2:$H$500,MATCH($E183,'Orders &amp; Payments'!$J$2:$J$500,0)),"")</f>
        <v/>
      </c>
      <c r="E183" s="1"/>
      <c r="F183" s="1"/>
      <c r="G183" s="1"/>
      <c r="H183" s="1"/>
    </row>
    <row r="184" spans="1:8" x14ac:dyDescent="0.25">
      <c r="A184" t="str">
        <f>IFERROR(INDEX('Orders &amp; Payments'!$A$2:$A$500,MATCH($E184,'Orders &amp; Payments'!$J$2:$J$500,0)),"")</f>
        <v/>
      </c>
      <c r="B184" t="str">
        <f>IFERROR(INDEX('Orders &amp; Payments'!$B$2:$B$500,MATCH($E184,'Orders &amp; Payments'!$J$2:$J$500,0)),"")</f>
        <v/>
      </c>
      <c r="C184" t="str">
        <f>IFERROR(INDEX('Orders &amp; Payments'!$I$2:$I$500,MATCH($E184,'Orders &amp; Payments'!$J$2:$J$500,0)),"")</f>
        <v/>
      </c>
      <c r="D184" t="str">
        <f>IFERROR(INDEX('Orders &amp; Payments'!$H$2:$H$500,MATCH($E184,'Orders &amp; Payments'!$J$2:$J$500,0)),"")</f>
        <v/>
      </c>
      <c r="E184" s="1"/>
      <c r="F184" s="1"/>
      <c r="G184" s="1"/>
      <c r="H184" s="1"/>
    </row>
    <row r="185" spans="1:8" x14ac:dyDescent="0.25">
      <c r="A185" t="str">
        <f>IFERROR(INDEX('Orders &amp; Payments'!$A$2:$A$500,MATCH($E185,'Orders &amp; Payments'!$J$2:$J$500,0)),"")</f>
        <v/>
      </c>
      <c r="B185" t="str">
        <f>IFERROR(INDEX('Orders &amp; Payments'!$B$2:$B$500,MATCH($E185,'Orders &amp; Payments'!$J$2:$J$500,0)),"")</f>
        <v/>
      </c>
      <c r="C185" t="str">
        <f>IFERROR(INDEX('Orders &amp; Payments'!$I$2:$I$500,MATCH($E185,'Orders &amp; Payments'!$J$2:$J$500,0)),"")</f>
        <v/>
      </c>
      <c r="D185" t="str">
        <f>IFERROR(INDEX('Orders &amp; Payments'!$H$2:$H$500,MATCH($E185,'Orders &amp; Payments'!$J$2:$J$500,0)),"")</f>
        <v/>
      </c>
      <c r="E185" s="1"/>
      <c r="F185" s="1"/>
      <c r="G185" s="1"/>
      <c r="H185" s="1"/>
    </row>
    <row r="186" spans="1:8" x14ac:dyDescent="0.25">
      <c r="A186" t="str">
        <f>IFERROR(INDEX('Orders &amp; Payments'!$A$2:$A$500,MATCH($E186,'Orders &amp; Payments'!$J$2:$J$500,0)),"")</f>
        <v/>
      </c>
      <c r="B186" t="str">
        <f>IFERROR(INDEX('Orders &amp; Payments'!$B$2:$B$500,MATCH($E186,'Orders &amp; Payments'!$J$2:$J$500,0)),"")</f>
        <v/>
      </c>
      <c r="C186" t="str">
        <f>IFERROR(INDEX('Orders &amp; Payments'!$I$2:$I$500,MATCH($E186,'Orders &amp; Payments'!$J$2:$J$500,0)),"")</f>
        <v/>
      </c>
      <c r="D186" t="str">
        <f>IFERROR(INDEX('Orders &amp; Payments'!$H$2:$H$500,MATCH($E186,'Orders &amp; Payments'!$J$2:$J$500,0)),"")</f>
        <v/>
      </c>
      <c r="E186" s="1"/>
      <c r="F186" s="1"/>
      <c r="G186" s="1"/>
      <c r="H186" s="1"/>
    </row>
    <row r="187" spans="1:8" x14ac:dyDescent="0.25">
      <c r="A187" t="str">
        <f>IFERROR(INDEX('Orders &amp; Payments'!$A$2:$A$500,MATCH($E187,'Orders &amp; Payments'!$J$2:$J$500,0)),"")</f>
        <v/>
      </c>
      <c r="B187" t="str">
        <f>IFERROR(INDEX('Orders &amp; Payments'!$B$2:$B$500,MATCH($E187,'Orders &amp; Payments'!$J$2:$J$500,0)),"")</f>
        <v/>
      </c>
      <c r="C187" t="str">
        <f>IFERROR(INDEX('Orders &amp; Payments'!$I$2:$I$500,MATCH($E187,'Orders &amp; Payments'!$J$2:$J$500,0)),"")</f>
        <v/>
      </c>
      <c r="D187" t="str">
        <f>IFERROR(INDEX('Orders &amp; Payments'!$H$2:$H$500,MATCH($E187,'Orders &amp; Payments'!$J$2:$J$500,0)),"")</f>
        <v/>
      </c>
      <c r="E187" s="1"/>
      <c r="F187" s="1"/>
      <c r="G187" s="1"/>
      <c r="H187" s="1"/>
    </row>
    <row r="188" spans="1:8" x14ac:dyDescent="0.25">
      <c r="A188" t="str">
        <f>IFERROR(INDEX('Orders &amp; Payments'!$A$2:$A$500,MATCH($E188,'Orders &amp; Payments'!$J$2:$J$500,0)),"")</f>
        <v/>
      </c>
      <c r="B188" t="str">
        <f>IFERROR(INDEX('Orders &amp; Payments'!$B$2:$B$500,MATCH($E188,'Orders &amp; Payments'!$J$2:$J$500,0)),"")</f>
        <v/>
      </c>
      <c r="C188" t="str">
        <f>IFERROR(INDEX('Orders &amp; Payments'!$I$2:$I$500,MATCH($E188,'Orders &amp; Payments'!$J$2:$J$500,0)),"")</f>
        <v/>
      </c>
      <c r="D188" t="str">
        <f>IFERROR(INDEX('Orders &amp; Payments'!$H$2:$H$500,MATCH($E188,'Orders &amp; Payments'!$J$2:$J$500,0)),"")</f>
        <v/>
      </c>
      <c r="E188" s="1"/>
      <c r="F188" s="1"/>
      <c r="G188" s="1"/>
      <c r="H188" s="1"/>
    </row>
    <row r="189" spans="1:8" x14ac:dyDescent="0.25">
      <c r="A189" t="str">
        <f>IFERROR(INDEX('Orders &amp; Payments'!$A$2:$A$500,MATCH($E189,'Orders &amp; Payments'!$J$2:$J$500,0)),"")</f>
        <v/>
      </c>
      <c r="B189" t="str">
        <f>IFERROR(INDEX('Orders &amp; Payments'!$B$2:$B$500,MATCH($E189,'Orders &amp; Payments'!$J$2:$J$500,0)),"")</f>
        <v/>
      </c>
      <c r="C189" t="str">
        <f>IFERROR(INDEX('Orders &amp; Payments'!$I$2:$I$500,MATCH($E189,'Orders &amp; Payments'!$J$2:$J$500,0)),"")</f>
        <v/>
      </c>
      <c r="D189" t="str">
        <f>IFERROR(INDEX('Orders &amp; Payments'!$H$2:$H$500,MATCH($E189,'Orders &amp; Payments'!$J$2:$J$500,0)),"")</f>
        <v/>
      </c>
      <c r="E189" s="1"/>
      <c r="F189" s="1"/>
      <c r="G189" s="1"/>
      <c r="H189" s="1"/>
    </row>
    <row r="190" spans="1:8" x14ac:dyDescent="0.25">
      <c r="A190" t="str">
        <f>IFERROR(INDEX('Orders &amp; Payments'!$A$2:$A$500,MATCH($E190,'Orders &amp; Payments'!$J$2:$J$500,0)),"")</f>
        <v/>
      </c>
      <c r="B190" t="str">
        <f>IFERROR(INDEX('Orders &amp; Payments'!$B$2:$B$500,MATCH($E190,'Orders &amp; Payments'!$J$2:$J$500,0)),"")</f>
        <v/>
      </c>
      <c r="C190" t="str">
        <f>IFERROR(INDEX('Orders &amp; Payments'!$I$2:$I$500,MATCH($E190,'Orders &amp; Payments'!$J$2:$J$500,0)),"")</f>
        <v/>
      </c>
      <c r="D190" t="str">
        <f>IFERROR(INDEX('Orders &amp; Payments'!$H$2:$H$500,MATCH($E190,'Orders &amp; Payments'!$J$2:$J$500,0)),"")</f>
        <v/>
      </c>
      <c r="E190" s="1"/>
      <c r="F190" s="1"/>
      <c r="G190" s="1"/>
      <c r="H190" s="1"/>
    </row>
    <row r="191" spans="1:8" x14ac:dyDescent="0.25">
      <c r="A191" t="str">
        <f>IFERROR(INDEX('Orders &amp; Payments'!$A$2:$A$500,MATCH($E191,'Orders &amp; Payments'!$J$2:$J$500,0)),"")</f>
        <v/>
      </c>
      <c r="B191" t="str">
        <f>IFERROR(INDEX('Orders &amp; Payments'!$B$2:$B$500,MATCH($E191,'Orders &amp; Payments'!$J$2:$J$500,0)),"")</f>
        <v/>
      </c>
      <c r="C191" t="str">
        <f>IFERROR(INDEX('Orders &amp; Payments'!$I$2:$I$500,MATCH($E191,'Orders &amp; Payments'!$J$2:$J$500,0)),"")</f>
        <v/>
      </c>
      <c r="D191" t="str">
        <f>IFERROR(INDEX('Orders &amp; Payments'!$H$2:$H$500,MATCH($E191,'Orders &amp; Payments'!$J$2:$J$500,0)),"")</f>
        <v/>
      </c>
      <c r="E191" s="1"/>
      <c r="F191" s="1"/>
      <c r="G191" s="1"/>
      <c r="H191" s="1"/>
    </row>
    <row r="192" spans="1:8" x14ac:dyDescent="0.25">
      <c r="A192" t="str">
        <f>IFERROR(INDEX('Orders &amp; Payments'!$A$2:$A$500,MATCH($E192,'Orders &amp; Payments'!$J$2:$J$500,0)),"")</f>
        <v/>
      </c>
      <c r="B192" t="str">
        <f>IFERROR(INDEX('Orders &amp; Payments'!$B$2:$B$500,MATCH($E192,'Orders &amp; Payments'!$J$2:$J$500,0)),"")</f>
        <v/>
      </c>
      <c r="C192" t="str">
        <f>IFERROR(INDEX('Orders &amp; Payments'!$I$2:$I$500,MATCH($E192,'Orders &amp; Payments'!$J$2:$J$500,0)),"")</f>
        <v/>
      </c>
      <c r="D192" t="str">
        <f>IFERROR(INDEX('Orders &amp; Payments'!$H$2:$H$500,MATCH($E192,'Orders &amp; Payments'!$J$2:$J$500,0)),"")</f>
        <v/>
      </c>
      <c r="E192" s="1"/>
      <c r="F192" s="1"/>
      <c r="G192" s="1"/>
      <c r="H192" s="1"/>
    </row>
    <row r="193" spans="1:8" x14ac:dyDescent="0.25">
      <c r="A193" t="str">
        <f>IFERROR(INDEX('Orders &amp; Payments'!$A$2:$A$500,MATCH($E193,'Orders &amp; Payments'!$J$2:$J$500,0)),"")</f>
        <v/>
      </c>
      <c r="B193" t="str">
        <f>IFERROR(INDEX('Orders &amp; Payments'!$B$2:$B$500,MATCH($E193,'Orders &amp; Payments'!$J$2:$J$500,0)),"")</f>
        <v/>
      </c>
      <c r="C193" t="str">
        <f>IFERROR(INDEX('Orders &amp; Payments'!$I$2:$I$500,MATCH($E193,'Orders &amp; Payments'!$J$2:$J$500,0)),"")</f>
        <v/>
      </c>
      <c r="D193" t="str">
        <f>IFERROR(INDEX('Orders &amp; Payments'!$H$2:$H$500,MATCH($E193,'Orders &amp; Payments'!$J$2:$J$500,0)),"")</f>
        <v/>
      </c>
      <c r="E193" s="1"/>
      <c r="F193" s="1"/>
      <c r="G193" s="1"/>
      <c r="H193" s="1"/>
    </row>
    <row r="194" spans="1:8" x14ac:dyDescent="0.25">
      <c r="A194" t="str">
        <f>IFERROR(INDEX('Orders &amp; Payments'!$A$2:$A$500,MATCH($E194,'Orders &amp; Payments'!$J$2:$J$500,0)),"")</f>
        <v/>
      </c>
      <c r="B194" t="str">
        <f>IFERROR(INDEX('Orders &amp; Payments'!$B$2:$B$500,MATCH($E194,'Orders &amp; Payments'!$J$2:$J$500,0)),"")</f>
        <v/>
      </c>
      <c r="C194" t="str">
        <f>IFERROR(INDEX('Orders &amp; Payments'!$I$2:$I$500,MATCH($E194,'Orders &amp; Payments'!$J$2:$J$500,0)),"")</f>
        <v/>
      </c>
      <c r="D194" t="str">
        <f>IFERROR(INDEX('Orders &amp; Payments'!$H$2:$H$500,MATCH($E194,'Orders &amp; Payments'!$J$2:$J$500,0)),"")</f>
        <v/>
      </c>
      <c r="E194" s="1"/>
      <c r="F194" s="1"/>
      <c r="G194" s="1"/>
      <c r="H194" s="1"/>
    </row>
    <row r="195" spans="1:8" x14ac:dyDescent="0.25">
      <c r="A195" t="str">
        <f>IFERROR(INDEX('Orders &amp; Payments'!$A$2:$A$500,MATCH($E195,'Orders &amp; Payments'!$J$2:$J$500,0)),"")</f>
        <v/>
      </c>
      <c r="B195" t="str">
        <f>IFERROR(INDEX('Orders &amp; Payments'!$B$2:$B$500,MATCH($E195,'Orders &amp; Payments'!$J$2:$J$500,0)),"")</f>
        <v/>
      </c>
      <c r="C195" t="str">
        <f>IFERROR(INDEX('Orders &amp; Payments'!$I$2:$I$500,MATCH($E195,'Orders &amp; Payments'!$J$2:$J$500,0)),"")</f>
        <v/>
      </c>
      <c r="D195" t="str">
        <f>IFERROR(INDEX('Orders &amp; Payments'!$H$2:$H$500,MATCH($E195,'Orders &amp; Payments'!$J$2:$J$500,0)),"")</f>
        <v/>
      </c>
      <c r="E195" s="1"/>
      <c r="F195" s="1"/>
      <c r="G195" s="1"/>
      <c r="H195" s="1"/>
    </row>
    <row r="196" spans="1:8" x14ac:dyDescent="0.25">
      <c r="A196" t="str">
        <f>IFERROR(INDEX('Orders &amp; Payments'!$A$2:$A$500,MATCH($E196,'Orders &amp; Payments'!$J$2:$J$500,0)),"")</f>
        <v/>
      </c>
      <c r="B196" t="str">
        <f>IFERROR(INDEX('Orders &amp; Payments'!$B$2:$B$500,MATCH($E196,'Orders &amp; Payments'!$J$2:$J$500,0)),"")</f>
        <v/>
      </c>
      <c r="C196" t="str">
        <f>IFERROR(INDEX('Orders &amp; Payments'!$I$2:$I$500,MATCH($E196,'Orders &amp; Payments'!$J$2:$J$500,0)),"")</f>
        <v/>
      </c>
      <c r="D196" t="str">
        <f>IFERROR(INDEX('Orders &amp; Payments'!$H$2:$H$500,MATCH($E196,'Orders &amp; Payments'!$J$2:$J$500,0)),"")</f>
        <v/>
      </c>
      <c r="E196" s="1"/>
      <c r="F196" s="1"/>
      <c r="G196" s="1"/>
      <c r="H196" s="1"/>
    </row>
    <row r="197" spans="1:8" x14ac:dyDescent="0.25">
      <c r="A197" t="str">
        <f>IFERROR(INDEX('Orders &amp; Payments'!$A$2:$A$500,MATCH($E197,'Orders &amp; Payments'!$J$2:$J$500,0)),"")</f>
        <v/>
      </c>
      <c r="B197" t="str">
        <f>IFERROR(INDEX('Orders &amp; Payments'!$B$2:$B$500,MATCH($E197,'Orders &amp; Payments'!$J$2:$J$500,0)),"")</f>
        <v/>
      </c>
      <c r="C197" t="str">
        <f>IFERROR(INDEX('Orders &amp; Payments'!$I$2:$I$500,MATCH($E197,'Orders &amp; Payments'!$J$2:$J$500,0)),"")</f>
        <v/>
      </c>
      <c r="D197" t="str">
        <f>IFERROR(INDEX('Orders &amp; Payments'!$H$2:$H$500,MATCH($E197,'Orders &amp; Payments'!$J$2:$J$500,0)),"")</f>
        <v/>
      </c>
      <c r="E197" s="1"/>
      <c r="F197" s="1"/>
      <c r="G197" s="1"/>
      <c r="H197" s="1"/>
    </row>
    <row r="198" spans="1:8" x14ac:dyDescent="0.25">
      <c r="A198" t="str">
        <f>IFERROR(INDEX('Orders &amp; Payments'!$A$2:$A$500,MATCH($E198,'Orders &amp; Payments'!$J$2:$J$500,0)),"")</f>
        <v/>
      </c>
      <c r="B198" t="str">
        <f>IFERROR(INDEX('Orders &amp; Payments'!$B$2:$B$500,MATCH($E198,'Orders &amp; Payments'!$J$2:$J$500,0)),"")</f>
        <v/>
      </c>
      <c r="C198" t="str">
        <f>IFERROR(INDEX('Orders &amp; Payments'!$I$2:$I$500,MATCH($E198,'Orders &amp; Payments'!$J$2:$J$500,0)),"")</f>
        <v/>
      </c>
      <c r="D198" t="str">
        <f>IFERROR(INDEX('Orders &amp; Payments'!$H$2:$H$500,MATCH($E198,'Orders &amp; Payments'!$J$2:$J$500,0)),"")</f>
        <v/>
      </c>
      <c r="E198" s="1"/>
      <c r="F198" s="1"/>
      <c r="G198" s="1"/>
      <c r="H198" s="1"/>
    </row>
    <row r="199" spans="1:8" x14ac:dyDescent="0.25">
      <c r="A199" t="str">
        <f>IFERROR(INDEX('Orders &amp; Payments'!$A$2:$A$500,MATCH($E199,'Orders &amp; Payments'!$J$2:$J$500,0)),"")</f>
        <v/>
      </c>
      <c r="B199" t="str">
        <f>IFERROR(INDEX('Orders &amp; Payments'!$B$2:$B$500,MATCH($E199,'Orders &amp; Payments'!$J$2:$J$500,0)),"")</f>
        <v/>
      </c>
      <c r="C199" t="str">
        <f>IFERROR(INDEX('Orders &amp; Payments'!$I$2:$I$500,MATCH($E199,'Orders &amp; Payments'!$J$2:$J$500,0)),"")</f>
        <v/>
      </c>
      <c r="D199" t="str">
        <f>IFERROR(INDEX('Orders &amp; Payments'!$H$2:$H$500,MATCH($E199,'Orders &amp; Payments'!$J$2:$J$500,0)),"")</f>
        <v/>
      </c>
      <c r="E199" s="1"/>
      <c r="F199" s="1"/>
      <c r="G199" s="1"/>
      <c r="H199" s="1"/>
    </row>
    <row r="200" spans="1:8" x14ac:dyDescent="0.25">
      <c r="A200" t="str">
        <f>IFERROR(INDEX('Orders &amp; Payments'!$A$2:$A$500,MATCH($E200,'Orders &amp; Payments'!$J$2:$J$500,0)),"")</f>
        <v/>
      </c>
      <c r="B200" t="str">
        <f>IFERROR(INDEX('Orders &amp; Payments'!$B$2:$B$500,MATCH($E200,'Orders &amp; Payments'!$J$2:$J$500,0)),"")</f>
        <v/>
      </c>
      <c r="C200" t="str">
        <f>IFERROR(INDEX('Orders &amp; Payments'!$I$2:$I$500,MATCH($E200,'Orders &amp; Payments'!$J$2:$J$500,0)),"")</f>
        <v/>
      </c>
      <c r="D200" t="str">
        <f>IFERROR(INDEX('Orders &amp; Payments'!$H$2:$H$500,MATCH($E200,'Orders &amp; Payments'!$J$2:$J$500,0)),"")</f>
        <v/>
      </c>
      <c r="E200" s="1"/>
      <c r="F200" s="1"/>
      <c r="G200" s="1"/>
      <c r="H200" s="1"/>
    </row>
    <row r="201" spans="1:8" x14ac:dyDescent="0.25">
      <c r="A201" t="str">
        <f>IFERROR(INDEX('Orders &amp; Payments'!$A$2:$A$500,MATCH($E201,'Orders &amp; Payments'!$J$2:$J$500,0)),"")</f>
        <v/>
      </c>
      <c r="B201" t="str">
        <f>IFERROR(INDEX('Orders &amp; Payments'!$B$2:$B$500,MATCH($E201,'Orders &amp; Payments'!$J$2:$J$500,0)),"")</f>
        <v/>
      </c>
      <c r="C201" t="str">
        <f>IFERROR(INDEX('Orders &amp; Payments'!$I$2:$I$500,MATCH($E201,'Orders &amp; Payments'!$J$2:$J$500,0)),"")</f>
        <v/>
      </c>
      <c r="D201" t="str">
        <f>IFERROR(INDEX('Orders &amp; Payments'!$H$2:$H$500,MATCH($E201,'Orders &amp; Payments'!$J$2:$J$500,0)),"")</f>
        <v/>
      </c>
      <c r="E201" s="1"/>
      <c r="F201" s="1"/>
      <c r="G201" s="1"/>
      <c r="H201" s="1"/>
    </row>
    <row r="202" spans="1:8" x14ac:dyDescent="0.25">
      <c r="A202" t="str">
        <f>IFERROR(INDEX('Orders &amp; Payments'!$A$2:$A$500,MATCH($E202,'Orders &amp; Payments'!$J$2:$J$500,0)),"")</f>
        <v/>
      </c>
      <c r="B202" t="str">
        <f>IFERROR(INDEX('Orders &amp; Payments'!$B$2:$B$500,MATCH($E202,'Orders &amp; Payments'!$J$2:$J$500,0)),"")</f>
        <v/>
      </c>
      <c r="C202" t="str">
        <f>IFERROR(INDEX('Orders &amp; Payments'!$I$2:$I$500,MATCH($E202,'Orders &amp; Payments'!$J$2:$J$500,0)),"")</f>
        <v/>
      </c>
      <c r="D202" t="str">
        <f>IFERROR(INDEX('Orders &amp; Payments'!$H$2:$H$500,MATCH($E202,'Orders &amp; Payments'!$J$2:$J$500,0)),"")</f>
        <v/>
      </c>
      <c r="E202" s="1"/>
      <c r="F202" s="1"/>
      <c r="G202" s="1"/>
      <c r="H202" s="1"/>
    </row>
    <row r="203" spans="1:8" x14ac:dyDescent="0.25">
      <c r="A203" t="str">
        <f>IFERROR(INDEX('Orders &amp; Payments'!$A$2:$A$500,MATCH($E203,'Orders &amp; Payments'!$J$2:$J$500,0)),"")</f>
        <v/>
      </c>
      <c r="B203" t="str">
        <f>IFERROR(INDEX('Orders &amp; Payments'!$B$2:$B$500,MATCH($E203,'Orders &amp; Payments'!$J$2:$J$500,0)),"")</f>
        <v/>
      </c>
      <c r="C203" t="str">
        <f>IFERROR(INDEX('Orders &amp; Payments'!$I$2:$I$500,MATCH($E203,'Orders &amp; Payments'!$J$2:$J$500,0)),"")</f>
        <v/>
      </c>
      <c r="D203" t="str">
        <f>IFERROR(INDEX('Orders &amp; Payments'!$H$2:$H$500,MATCH($E203,'Orders &amp; Payments'!$J$2:$J$500,0)),"")</f>
        <v/>
      </c>
      <c r="E203" s="1"/>
      <c r="F203" s="1"/>
      <c r="G203" s="1"/>
      <c r="H203" s="1"/>
    </row>
    <row r="204" spans="1:8" x14ac:dyDescent="0.25">
      <c r="A204" t="str">
        <f>IFERROR(INDEX('Orders &amp; Payments'!$A$2:$A$500,MATCH($E204,'Orders &amp; Payments'!$J$2:$J$500,0)),"")</f>
        <v/>
      </c>
      <c r="B204" t="str">
        <f>IFERROR(INDEX('Orders &amp; Payments'!$B$2:$B$500,MATCH($E204,'Orders &amp; Payments'!$J$2:$J$500,0)),"")</f>
        <v/>
      </c>
      <c r="C204" t="str">
        <f>IFERROR(INDEX('Orders &amp; Payments'!$I$2:$I$500,MATCH($E204,'Orders &amp; Payments'!$J$2:$J$500,0)),"")</f>
        <v/>
      </c>
      <c r="D204" t="str">
        <f>IFERROR(INDEX('Orders &amp; Payments'!$H$2:$H$500,MATCH($E204,'Orders &amp; Payments'!$J$2:$J$500,0)),"")</f>
        <v/>
      </c>
      <c r="E204" s="1"/>
      <c r="F204" s="1"/>
      <c r="G204" s="1"/>
      <c r="H204" s="1"/>
    </row>
    <row r="205" spans="1:8" x14ac:dyDescent="0.25">
      <c r="A205" t="str">
        <f>IFERROR(INDEX('Orders &amp; Payments'!$A$2:$A$500,MATCH($E205,'Orders &amp; Payments'!$J$2:$J$500,0)),"")</f>
        <v/>
      </c>
      <c r="B205" t="str">
        <f>IFERROR(INDEX('Orders &amp; Payments'!$B$2:$B$500,MATCH($E205,'Orders &amp; Payments'!$J$2:$J$500,0)),"")</f>
        <v/>
      </c>
      <c r="C205" t="str">
        <f>IFERROR(INDEX('Orders &amp; Payments'!$I$2:$I$500,MATCH($E205,'Orders &amp; Payments'!$J$2:$J$500,0)),"")</f>
        <v/>
      </c>
      <c r="D205" t="str">
        <f>IFERROR(INDEX('Orders &amp; Payments'!$H$2:$H$500,MATCH($E205,'Orders &amp; Payments'!$J$2:$J$500,0)),"")</f>
        <v/>
      </c>
      <c r="E205" s="1"/>
      <c r="F205" s="1"/>
      <c r="G205" s="1"/>
      <c r="H205" s="1"/>
    </row>
    <row r="206" spans="1:8" x14ac:dyDescent="0.25">
      <c r="A206" t="str">
        <f>IFERROR(INDEX('Orders &amp; Payments'!$A$2:$A$500,MATCH($E206,'Orders &amp; Payments'!$J$2:$J$500,0)),"")</f>
        <v/>
      </c>
      <c r="B206" t="str">
        <f>IFERROR(INDEX('Orders &amp; Payments'!$B$2:$B$500,MATCH($E206,'Orders &amp; Payments'!$J$2:$J$500,0)),"")</f>
        <v/>
      </c>
      <c r="C206" t="str">
        <f>IFERROR(INDEX('Orders &amp; Payments'!$I$2:$I$500,MATCH($E206,'Orders &amp; Payments'!$J$2:$J$500,0)),"")</f>
        <v/>
      </c>
      <c r="D206" t="str">
        <f>IFERROR(INDEX('Orders &amp; Payments'!$H$2:$H$500,MATCH($E206,'Orders &amp; Payments'!$J$2:$J$500,0)),"")</f>
        <v/>
      </c>
      <c r="E206" s="1"/>
      <c r="F206" s="1"/>
      <c r="G206" s="1"/>
      <c r="H206" s="1"/>
    </row>
    <row r="207" spans="1:8" x14ac:dyDescent="0.25">
      <c r="A207" t="str">
        <f>IFERROR(INDEX('Orders &amp; Payments'!$A$2:$A$500,MATCH($E207,'Orders &amp; Payments'!$J$2:$J$500,0)),"")</f>
        <v/>
      </c>
      <c r="B207" t="str">
        <f>IFERROR(INDEX('Orders &amp; Payments'!$B$2:$B$500,MATCH($E207,'Orders &amp; Payments'!$J$2:$J$500,0)),"")</f>
        <v/>
      </c>
      <c r="C207" t="str">
        <f>IFERROR(INDEX('Orders &amp; Payments'!$I$2:$I$500,MATCH($E207,'Orders &amp; Payments'!$J$2:$J$500,0)),"")</f>
        <v/>
      </c>
      <c r="D207" t="str">
        <f>IFERROR(INDEX('Orders &amp; Payments'!$H$2:$H$500,MATCH($E207,'Orders &amp; Payments'!$J$2:$J$500,0)),"")</f>
        <v/>
      </c>
      <c r="E207" s="1"/>
      <c r="F207" s="1"/>
      <c r="G207" s="1"/>
      <c r="H207" s="1"/>
    </row>
    <row r="208" spans="1:8" x14ac:dyDescent="0.25">
      <c r="A208" t="str">
        <f>IFERROR(INDEX('Orders &amp; Payments'!$A$2:$A$500,MATCH($E208,'Orders &amp; Payments'!$J$2:$J$500,0)),"")</f>
        <v/>
      </c>
      <c r="B208" t="str">
        <f>IFERROR(INDEX('Orders &amp; Payments'!$B$2:$B$500,MATCH($E208,'Orders &amp; Payments'!$J$2:$J$500,0)),"")</f>
        <v/>
      </c>
      <c r="C208" t="str">
        <f>IFERROR(INDEX('Orders &amp; Payments'!$I$2:$I$500,MATCH($E208,'Orders &amp; Payments'!$J$2:$J$500,0)),"")</f>
        <v/>
      </c>
      <c r="D208" t="str">
        <f>IFERROR(INDEX('Orders &amp; Payments'!$H$2:$H$500,MATCH($E208,'Orders &amp; Payments'!$J$2:$J$500,0)),"")</f>
        <v/>
      </c>
      <c r="E208" s="1"/>
      <c r="F208" s="1"/>
      <c r="G208" s="1"/>
      <c r="H208" s="1"/>
    </row>
    <row r="209" spans="1:8" x14ac:dyDescent="0.25">
      <c r="A209" t="str">
        <f>IFERROR(INDEX('Orders &amp; Payments'!$A$2:$A$500,MATCH($E209,'Orders &amp; Payments'!$J$2:$J$500,0)),"")</f>
        <v/>
      </c>
      <c r="B209" t="str">
        <f>IFERROR(INDEX('Orders &amp; Payments'!$B$2:$B$500,MATCH($E209,'Orders &amp; Payments'!$J$2:$J$500,0)),"")</f>
        <v/>
      </c>
      <c r="C209" t="str">
        <f>IFERROR(INDEX('Orders &amp; Payments'!$I$2:$I$500,MATCH($E209,'Orders &amp; Payments'!$J$2:$J$500,0)),"")</f>
        <v/>
      </c>
      <c r="D209" t="str">
        <f>IFERROR(INDEX('Orders &amp; Payments'!$H$2:$H$500,MATCH($E209,'Orders &amp; Payments'!$J$2:$J$500,0)),"")</f>
        <v/>
      </c>
      <c r="E209" s="1"/>
      <c r="F209" s="1"/>
      <c r="G209" s="1"/>
      <c r="H209" s="1"/>
    </row>
    <row r="210" spans="1:8" x14ac:dyDescent="0.25">
      <c r="A210" t="str">
        <f>IFERROR(INDEX('Orders &amp; Payments'!$A$2:$A$500,MATCH($E210,'Orders &amp; Payments'!$J$2:$J$500,0)),"")</f>
        <v/>
      </c>
      <c r="B210" t="str">
        <f>IFERROR(INDEX('Orders &amp; Payments'!$B$2:$B$500,MATCH($E210,'Orders &amp; Payments'!$J$2:$J$500,0)),"")</f>
        <v/>
      </c>
      <c r="C210" t="str">
        <f>IFERROR(INDEX('Orders &amp; Payments'!$I$2:$I$500,MATCH($E210,'Orders &amp; Payments'!$J$2:$J$500,0)),"")</f>
        <v/>
      </c>
      <c r="D210" t="str">
        <f>IFERROR(INDEX('Orders &amp; Payments'!$H$2:$H$500,MATCH($E210,'Orders &amp; Payments'!$J$2:$J$500,0)),"")</f>
        <v/>
      </c>
      <c r="E210" s="1"/>
      <c r="F210" s="1"/>
      <c r="G210" s="1"/>
      <c r="H210" s="1"/>
    </row>
    <row r="211" spans="1:8" x14ac:dyDescent="0.25">
      <c r="A211" t="str">
        <f>IFERROR(INDEX('Orders &amp; Payments'!$A$2:$A$500,MATCH($E211,'Orders &amp; Payments'!$J$2:$J$500,0)),"")</f>
        <v/>
      </c>
      <c r="B211" t="str">
        <f>IFERROR(INDEX('Orders &amp; Payments'!$B$2:$B$500,MATCH($E211,'Orders &amp; Payments'!$J$2:$J$500,0)),"")</f>
        <v/>
      </c>
      <c r="C211" t="str">
        <f>IFERROR(INDEX('Orders &amp; Payments'!$I$2:$I$500,MATCH($E211,'Orders &amp; Payments'!$J$2:$J$500,0)),"")</f>
        <v/>
      </c>
      <c r="D211" t="str">
        <f>IFERROR(INDEX('Orders &amp; Payments'!$H$2:$H$500,MATCH($E211,'Orders &amp; Payments'!$J$2:$J$500,0)),"")</f>
        <v/>
      </c>
      <c r="E211" s="1"/>
      <c r="F211" s="1"/>
      <c r="G211" s="1"/>
      <c r="H211" s="1"/>
    </row>
    <row r="212" spans="1:8" x14ac:dyDescent="0.25">
      <c r="A212" t="str">
        <f>IFERROR(INDEX('Orders &amp; Payments'!$A$2:$A$500,MATCH($E212,'Orders &amp; Payments'!$J$2:$J$500,0)),"")</f>
        <v/>
      </c>
      <c r="B212" t="str">
        <f>IFERROR(INDEX('Orders &amp; Payments'!$B$2:$B$500,MATCH($E212,'Orders &amp; Payments'!$J$2:$J$500,0)),"")</f>
        <v/>
      </c>
      <c r="C212" t="str">
        <f>IFERROR(INDEX('Orders &amp; Payments'!$I$2:$I$500,MATCH($E212,'Orders &amp; Payments'!$J$2:$J$500,0)),"")</f>
        <v/>
      </c>
      <c r="D212" t="str">
        <f>IFERROR(INDEX('Orders &amp; Payments'!$H$2:$H$500,MATCH($E212,'Orders &amp; Payments'!$J$2:$J$500,0)),"")</f>
        <v/>
      </c>
      <c r="E212" s="1"/>
      <c r="F212" s="1"/>
      <c r="G212" s="1"/>
      <c r="H212" s="1"/>
    </row>
    <row r="213" spans="1:8" x14ac:dyDescent="0.25">
      <c r="A213" t="str">
        <f>IFERROR(INDEX('Orders &amp; Payments'!$A$2:$A$500,MATCH($E213,'Orders &amp; Payments'!$J$2:$J$500,0)),"")</f>
        <v/>
      </c>
      <c r="B213" t="str">
        <f>IFERROR(INDEX('Orders &amp; Payments'!$B$2:$B$500,MATCH($E213,'Orders &amp; Payments'!$J$2:$J$500,0)),"")</f>
        <v/>
      </c>
      <c r="C213" t="str">
        <f>IFERROR(INDEX('Orders &amp; Payments'!$I$2:$I$500,MATCH($E213,'Orders &amp; Payments'!$J$2:$J$500,0)),"")</f>
        <v/>
      </c>
      <c r="D213" t="str">
        <f>IFERROR(INDEX('Orders &amp; Payments'!$H$2:$H$500,MATCH($E213,'Orders &amp; Payments'!$J$2:$J$500,0)),"")</f>
        <v/>
      </c>
      <c r="E213" s="1"/>
      <c r="F213" s="1"/>
      <c r="G213" s="1"/>
      <c r="H213" s="1"/>
    </row>
    <row r="214" spans="1:8" x14ac:dyDescent="0.25">
      <c r="A214" t="str">
        <f>IFERROR(INDEX('Orders &amp; Payments'!$A$2:$A$500,MATCH($E214,'Orders &amp; Payments'!$J$2:$J$500,0)),"")</f>
        <v/>
      </c>
      <c r="B214" t="str">
        <f>IFERROR(INDEX('Orders &amp; Payments'!$B$2:$B$500,MATCH($E214,'Orders &amp; Payments'!$J$2:$J$500,0)),"")</f>
        <v/>
      </c>
      <c r="C214" t="str">
        <f>IFERROR(INDEX('Orders &amp; Payments'!$I$2:$I$500,MATCH($E214,'Orders &amp; Payments'!$J$2:$J$500,0)),"")</f>
        <v/>
      </c>
      <c r="D214" t="str">
        <f>IFERROR(INDEX('Orders &amp; Payments'!$H$2:$H$500,MATCH($E214,'Orders &amp; Payments'!$J$2:$J$500,0)),"")</f>
        <v/>
      </c>
      <c r="E214" s="1"/>
      <c r="F214" s="1"/>
      <c r="G214" s="1"/>
      <c r="H214" s="1"/>
    </row>
    <row r="215" spans="1:8" x14ac:dyDescent="0.25">
      <c r="A215" t="str">
        <f>IFERROR(INDEX('Orders &amp; Payments'!$A$2:$A$500,MATCH($E215,'Orders &amp; Payments'!$J$2:$J$500,0)),"")</f>
        <v/>
      </c>
      <c r="B215" t="str">
        <f>IFERROR(INDEX('Orders &amp; Payments'!$B$2:$B$500,MATCH($E215,'Orders &amp; Payments'!$J$2:$J$500,0)),"")</f>
        <v/>
      </c>
      <c r="C215" t="str">
        <f>IFERROR(INDEX('Orders &amp; Payments'!$I$2:$I$500,MATCH($E215,'Orders &amp; Payments'!$J$2:$J$500,0)),"")</f>
        <v/>
      </c>
      <c r="D215" t="str">
        <f>IFERROR(INDEX('Orders &amp; Payments'!$H$2:$H$500,MATCH($E215,'Orders &amp; Payments'!$J$2:$J$500,0)),"")</f>
        <v/>
      </c>
      <c r="E215" s="1"/>
      <c r="F215" s="1"/>
      <c r="G215" s="1"/>
      <c r="H215" s="1"/>
    </row>
    <row r="216" spans="1:8" x14ac:dyDescent="0.25">
      <c r="A216" t="str">
        <f>IFERROR(INDEX('Orders &amp; Payments'!$A$2:$A$500,MATCH($E216,'Orders &amp; Payments'!$J$2:$J$500,0)),"")</f>
        <v/>
      </c>
      <c r="B216" t="str">
        <f>IFERROR(INDEX('Orders &amp; Payments'!$B$2:$B$500,MATCH($E216,'Orders &amp; Payments'!$J$2:$J$500,0)),"")</f>
        <v/>
      </c>
      <c r="C216" t="str">
        <f>IFERROR(INDEX('Orders &amp; Payments'!$I$2:$I$500,MATCH($E216,'Orders &amp; Payments'!$J$2:$J$500,0)),"")</f>
        <v/>
      </c>
      <c r="D216" t="str">
        <f>IFERROR(INDEX('Orders &amp; Payments'!$H$2:$H$500,MATCH($E216,'Orders &amp; Payments'!$J$2:$J$500,0)),"")</f>
        <v/>
      </c>
      <c r="E216" s="1"/>
      <c r="F216" s="1"/>
      <c r="G216" s="1"/>
      <c r="H216" s="1"/>
    </row>
    <row r="217" spans="1:8" x14ac:dyDescent="0.25">
      <c r="A217" t="str">
        <f>IFERROR(INDEX('Orders &amp; Payments'!$A$2:$A$500,MATCH($E217,'Orders &amp; Payments'!$J$2:$J$500,0)),"")</f>
        <v/>
      </c>
      <c r="B217" t="str">
        <f>IFERROR(INDEX('Orders &amp; Payments'!$B$2:$B$500,MATCH($E217,'Orders &amp; Payments'!$J$2:$J$500,0)),"")</f>
        <v/>
      </c>
      <c r="C217" t="str">
        <f>IFERROR(INDEX('Orders &amp; Payments'!$I$2:$I$500,MATCH($E217,'Orders &amp; Payments'!$J$2:$J$500,0)),"")</f>
        <v/>
      </c>
      <c r="D217" t="str">
        <f>IFERROR(INDEX('Orders &amp; Payments'!$H$2:$H$500,MATCH($E217,'Orders &amp; Payments'!$J$2:$J$500,0)),"")</f>
        <v/>
      </c>
      <c r="E217" s="1"/>
      <c r="F217" s="1"/>
      <c r="G217" s="1"/>
      <c r="H217" s="1"/>
    </row>
    <row r="218" spans="1:8" x14ac:dyDescent="0.25">
      <c r="A218" t="str">
        <f>IFERROR(INDEX('Orders &amp; Payments'!$A$2:$A$500,MATCH($E218,'Orders &amp; Payments'!$J$2:$J$500,0)),"")</f>
        <v/>
      </c>
      <c r="B218" t="str">
        <f>IFERROR(INDEX('Orders &amp; Payments'!$B$2:$B$500,MATCH($E218,'Orders &amp; Payments'!$J$2:$J$500,0)),"")</f>
        <v/>
      </c>
      <c r="C218" t="str">
        <f>IFERROR(INDEX('Orders &amp; Payments'!$I$2:$I$500,MATCH($E218,'Orders &amp; Payments'!$J$2:$J$500,0)),"")</f>
        <v/>
      </c>
      <c r="D218" t="str">
        <f>IFERROR(INDEX('Orders &amp; Payments'!$H$2:$H$500,MATCH($E218,'Orders &amp; Payments'!$J$2:$J$500,0)),"")</f>
        <v/>
      </c>
      <c r="E218" s="1"/>
      <c r="F218" s="1"/>
      <c r="G218" s="1"/>
      <c r="H218" s="1"/>
    </row>
    <row r="219" spans="1:8" x14ac:dyDescent="0.25">
      <c r="A219" t="str">
        <f>IFERROR(INDEX('Orders &amp; Payments'!$A$2:$A$500,MATCH($E219,'Orders &amp; Payments'!$J$2:$J$500,0)),"")</f>
        <v/>
      </c>
      <c r="B219" t="str">
        <f>IFERROR(INDEX('Orders &amp; Payments'!$B$2:$B$500,MATCH($E219,'Orders &amp; Payments'!$J$2:$J$500,0)),"")</f>
        <v/>
      </c>
      <c r="C219" t="str">
        <f>IFERROR(INDEX('Orders &amp; Payments'!$I$2:$I$500,MATCH($E219,'Orders &amp; Payments'!$J$2:$J$500,0)),"")</f>
        <v/>
      </c>
      <c r="D219" t="str">
        <f>IFERROR(INDEX('Orders &amp; Payments'!$H$2:$H$500,MATCH($E219,'Orders &amp; Payments'!$J$2:$J$500,0)),"")</f>
        <v/>
      </c>
      <c r="E219" s="1"/>
      <c r="F219" s="1"/>
      <c r="G219" s="1"/>
      <c r="H219" s="1"/>
    </row>
    <row r="220" spans="1:8" x14ac:dyDescent="0.25">
      <c r="A220" t="str">
        <f>IFERROR(INDEX('Orders &amp; Payments'!$A$2:$A$500,MATCH($E220,'Orders &amp; Payments'!$J$2:$J$500,0)),"")</f>
        <v/>
      </c>
      <c r="B220" t="str">
        <f>IFERROR(INDEX('Orders &amp; Payments'!$B$2:$B$500,MATCH($E220,'Orders &amp; Payments'!$J$2:$J$500,0)),"")</f>
        <v/>
      </c>
      <c r="C220" t="str">
        <f>IFERROR(INDEX('Orders &amp; Payments'!$I$2:$I$500,MATCH($E220,'Orders &amp; Payments'!$J$2:$J$500,0)),"")</f>
        <v/>
      </c>
      <c r="D220" t="str">
        <f>IFERROR(INDEX('Orders &amp; Payments'!$H$2:$H$500,MATCH($E220,'Orders &amp; Payments'!$J$2:$J$500,0)),"")</f>
        <v/>
      </c>
      <c r="E220" s="1"/>
      <c r="F220" s="1"/>
      <c r="G220" s="1"/>
      <c r="H220" s="1"/>
    </row>
    <row r="221" spans="1:8" x14ac:dyDescent="0.25">
      <c r="A221" t="str">
        <f>IFERROR(INDEX('Orders &amp; Payments'!$A$2:$A$500,MATCH($E221,'Orders &amp; Payments'!$J$2:$J$500,0)),"")</f>
        <v/>
      </c>
      <c r="B221" t="str">
        <f>IFERROR(INDEX('Orders &amp; Payments'!$B$2:$B$500,MATCH($E221,'Orders &amp; Payments'!$J$2:$J$500,0)),"")</f>
        <v/>
      </c>
      <c r="C221" t="str">
        <f>IFERROR(INDEX('Orders &amp; Payments'!$I$2:$I$500,MATCH($E221,'Orders &amp; Payments'!$J$2:$J$500,0)),"")</f>
        <v/>
      </c>
      <c r="D221" t="str">
        <f>IFERROR(INDEX('Orders &amp; Payments'!$H$2:$H$500,MATCH($E221,'Orders &amp; Payments'!$J$2:$J$500,0)),"")</f>
        <v/>
      </c>
      <c r="E221" s="1"/>
      <c r="F221" s="1"/>
      <c r="G221" s="1"/>
      <c r="H221" s="1"/>
    </row>
    <row r="222" spans="1:8" x14ac:dyDescent="0.25">
      <c r="A222" t="str">
        <f>IFERROR(INDEX('Orders &amp; Payments'!$A$2:$A$500,MATCH($E222,'Orders &amp; Payments'!$J$2:$J$500,0)),"")</f>
        <v/>
      </c>
      <c r="B222" t="str">
        <f>IFERROR(INDEX('Orders &amp; Payments'!$B$2:$B$500,MATCH($E222,'Orders &amp; Payments'!$J$2:$J$500,0)),"")</f>
        <v/>
      </c>
      <c r="C222" t="str">
        <f>IFERROR(INDEX('Orders &amp; Payments'!$I$2:$I$500,MATCH($E222,'Orders &amp; Payments'!$J$2:$J$500,0)),"")</f>
        <v/>
      </c>
      <c r="D222" t="str">
        <f>IFERROR(INDEX('Orders &amp; Payments'!$H$2:$H$500,MATCH($E222,'Orders &amp; Payments'!$J$2:$J$500,0)),"")</f>
        <v/>
      </c>
      <c r="E222" s="1"/>
      <c r="F222" s="1"/>
      <c r="G222" s="1"/>
      <c r="H222" s="1"/>
    </row>
    <row r="223" spans="1:8" x14ac:dyDescent="0.25">
      <c r="A223" t="str">
        <f>IFERROR(INDEX('Orders &amp; Payments'!$A$2:$A$500,MATCH($E223,'Orders &amp; Payments'!$J$2:$J$500,0)),"")</f>
        <v/>
      </c>
      <c r="B223" t="str">
        <f>IFERROR(INDEX('Orders &amp; Payments'!$B$2:$B$500,MATCH($E223,'Orders &amp; Payments'!$J$2:$J$500,0)),"")</f>
        <v/>
      </c>
      <c r="C223" t="str">
        <f>IFERROR(INDEX('Orders &amp; Payments'!$I$2:$I$500,MATCH($E223,'Orders &amp; Payments'!$J$2:$J$500,0)),"")</f>
        <v/>
      </c>
      <c r="D223" t="str">
        <f>IFERROR(INDEX('Orders &amp; Payments'!$H$2:$H$500,MATCH($E223,'Orders &amp; Payments'!$J$2:$J$500,0)),"")</f>
        <v/>
      </c>
      <c r="E223" s="1"/>
      <c r="F223" s="1"/>
      <c r="G223" s="1"/>
      <c r="H223" s="1"/>
    </row>
    <row r="224" spans="1:8" x14ac:dyDescent="0.25">
      <c r="A224" t="str">
        <f>IFERROR(INDEX('Orders &amp; Payments'!$A$2:$A$500,MATCH($E224,'Orders &amp; Payments'!$J$2:$J$500,0)),"")</f>
        <v/>
      </c>
      <c r="B224" t="str">
        <f>IFERROR(INDEX('Orders &amp; Payments'!$B$2:$B$500,MATCH($E224,'Orders &amp; Payments'!$J$2:$J$500,0)),"")</f>
        <v/>
      </c>
      <c r="C224" t="str">
        <f>IFERROR(INDEX('Orders &amp; Payments'!$I$2:$I$500,MATCH($E224,'Orders &amp; Payments'!$J$2:$J$500,0)),"")</f>
        <v/>
      </c>
      <c r="D224" t="str">
        <f>IFERROR(INDEX('Orders &amp; Payments'!$H$2:$H$500,MATCH($E224,'Orders &amp; Payments'!$J$2:$J$500,0)),"")</f>
        <v/>
      </c>
      <c r="E224" s="1"/>
      <c r="F224" s="1"/>
      <c r="G224" s="1"/>
      <c r="H224" s="1"/>
    </row>
    <row r="225" spans="1:8" x14ac:dyDescent="0.25">
      <c r="A225" t="str">
        <f>IFERROR(INDEX('Orders &amp; Payments'!$A$2:$A$500,MATCH($E225,'Orders &amp; Payments'!$J$2:$J$500,0)),"")</f>
        <v/>
      </c>
      <c r="B225" t="str">
        <f>IFERROR(INDEX('Orders &amp; Payments'!$B$2:$B$500,MATCH($E225,'Orders &amp; Payments'!$J$2:$J$500,0)),"")</f>
        <v/>
      </c>
      <c r="C225" t="str">
        <f>IFERROR(INDEX('Orders &amp; Payments'!$I$2:$I$500,MATCH($E225,'Orders &amp; Payments'!$J$2:$J$500,0)),"")</f>
        <v/>
      </c>
      <c r="D225" t="str">
        <f>IFERROR(INDEX('Orders &amp; Payments'!$H$2:$H$500,MATCH($E225,'Orders &amp; Payments'!$J$2:$J$500,0)),"")</f>
        <v/>
      </c>
      <c r="E225" s="1"/>
      <c r="F225" s="1"/>
      <c r="G225" s="1"/>
      <c r="H225" s="1"/>
    </row>
    <row r="226" spans="1:8" x14ac:dyDescent="0.25">
      <c r="A226" t="str">
        <f>IFERROR(INDEX('Orders &amp; Payments'!$A$2:$A$500,MATCH($E226,'Orders &amp; Payments'!$J$2:$J$500,0)),"")</f>
        <v/>
      </c>
      <c r="B226" t="str">
        <f>IFERROR(INDEX('Orders &amp; Payments'!$B$2:$B$500,MATCH($E226,'Orders &amp; Payments'!$J$2:$J$500,0)),"")</f>
        <v/>
      </c>
      <c r="C226" t="str">
        <f>IFERROR(INDEX('Orders &amp; Payments'!$I$2:$I$500,MATCH($E226,'Orders &amp; Payments'!$J$2:$J$500,0)),"")</f>
        <v/>
      </c>
      <c r="D226" t="str">
        <f>IFERROR(INDEX('Orders &amp; Payments'!$H$2:$H$500,MATCH($E226,'Orders &amp; Payments'!$J$2:$J$500,0)),"")</f>
        <v/>
      </c>
      <c r="E226" s="1"/>
      <c r="F226" s="1"/>
      <c r="G226" s="1"/>
      <c r="H226" s="1"/>
    </row>
    <row r="227" spans="1:8" x14ac:dyDescent="0.25">
      <c r="A227" t="str">
        <f>IFERROR(INDEX('Orders &amp; Payments'!$A$2:$A$500,MATCH($E227,'Orders &amp; Payments'!$J$2:$J$500,0)),"")</f>
        <v/>
      </c>
      <c r="B227" t="str">
        <f>IFERROR(INDEX('Orders &amp; Payments'!$B$2:$B$500,MATCH($E227,'Orders &amp; Payments'!$J$2:$J$500,0)),"")</f>
        <v/>
      </c>
      <c r="C227" t="str">
        <f>IFERROR(INDEX('Orders &amp; Payments'!$I$2:$I$500,MATCH($E227,'Orders &amp; Payments'!$J$2:$J$500,0)),"")</f>
        <v/>
      </c>
      <c r="D227" t="str">
        <f>IFERROR(INDEX('Orders &amp; Payments'!$H$2:$H$500,MATCH($E227,'Orders &amp; Payments'!$J$2:$J$500,0)),"")</f>
        <v/>
      </c>
      <c r="E227" s="1"/>
      <c r="F227" s="1"/>
      <c r="G227" s="1"/>
      <c r="H227" s="1"/>
    </row>
    <row r="228" spans="1:8" x14ac:dyDescent="0.25">
      <c r="A228" t="str">
        <f>IFERROR(INDEX('Orders &amp; Payments'!$A$2:$A$500,MATCH($E228,'Orders &amp; Payments'!$J$2:$J$500,0)),"")</f>
        <v/>
      </c>
      <c r="B228" t="str">
        <f>IFERROR(INDEX('Orders &amp; Payments'!$B$2:$B$500,MATCH($E228,'Orders &amp; Payments'!$J$2:$J$500,0)),"")</f>
        <v/>
      </c>
      <c r="C228" t="str">
        <f>IFERROR(INDEX('Orders &amp; Payments'!$I$2:$I$500,MATCH($E228,'Orders &amp; Payments'!$J$2:$J$500,0)),"")</f>
        <v/>
      </c>
      <c r="D228" t="str">
        <f>IFERROR(INDEX('Orders &amp; Payments'!$H$2:$H$500,MATCH($E228,'Orders &amp; Payments'!$J$2:$J$500,0)),"")</f>
        <v/>
      </c>
      <c r="E228" s="1"/>
      <c r="F228" s="1"/>
      <c r="G228" s="1"/>
      <c r="H228" s="1"/>
    </row>
    <row r="229" spans="1:8" x14ac:dyDescent="0.25">
      <c r="A229" t="str">
        <f>IFERROR(INDEX('Orders &amp; Payments'!$A$2:$A$500,MATCH($E229,'Orders &amp; Payments'!$J$2:$J$500,0)),"")</f>
        <v/>
      </c>
      <c r="B229" t="str">
        <f>IFERROR(INDEX('Orders &amp; Payments'!$B$2:$B$500,MATCH($E229,'Orders &amp; Payments'!$J$2:$J$500,0)),"")</f>
        <v/>
      </c>
      <c r="C229" t="str">
        <f>IFERROR(INDEX('Orders &amp; Payments'!$I$2:$I$500,MATCH($E229,'Orders &amp; Payments'!$J$2:$J$500,0)),"")</f>
        <v/>
      </c>
      <c r="D229" t="str">
        <f>IFERROR(INDEX('Orders &amp; Payments'!$H$2:$H$500,MATCH($E229,'Orders &amp; Payments'!$J$2:$J$500,0)),"")</f>
        <v/>
      </c>
      <c r="E229" s="1"/>
      <c r="F229" s="1"/>
      <c r="G229" s="1"/>
      <c r="H229" s="1"/>
    </row>
    <row r="230" spans="1:8" x14ac:dyDescent="0.25">
      <c r="A230" t="str">
        <f>IFERROR(INDEX('Orders &amp; Payments'!$A$2:$A$500,MATCH($E230,'Orders &amp; Payments'!$J$2:$J$500,0)),"")</f>
        <v/>
      </c>
      <c r="B230" t="str">
        <f>IFERROR(INDEX('Orders &amp; Payments'!$B$2:$B$500,MATCH($E230,'Orders &amp; Payments'!$J$2:$J$500,0)),"")</f>
        <v/>
      </c>
      <c r="C230" t="str">
        <f>IFERROR(INDEX('Orders &amp; Payments'!$I$2:$I$500,MATCH($E230,'Orders &amp; Payments'!$J$2:$J$500,0)),"")</f>
        <v/>
      </c>
      <c r="D230" t="str">
        <f>IFERROR(INDEX('Orders &amp; Payments'!$H$2:$H$500,MATCH($E230,'Orders &amp; Payments'!$J$2:$J$500,0)),"")</f>
        <v/>
      </c>
      <c r="E230" s="1"/>
      <c r="F230" s="1"/>
      <c r="G230" s="1"/>
      <c r="H230" s="1"/>
    </row>
    <row r="231" spans="1:8" x14ac:dyDescent="0.25">
      <c r="A231" t="str">
        <f>IFERROR(INDEX('Orders &amp; Payments'!$A$2:$A$500,MATCH($E231,'Orders &amp; Payments'!$J$2:$J$500,0)),"")</f>
        <v/>
      </c>
      <c r="B231" t="str">
        <f>IFERROR(INDEX('Orders &amp; Payments'!$B$2:$B$500,MATCH($E231,'Orders &amp; Payments'!$J$2:$J$500,0)),"")</f>
        <v/>
      </c>
      <c r="C231" t="str">
        <f>IFERROR(INDEX('Orders &amp; Payments'!$I$2:$I$500,MATCH($E231,'Orders &amp; Payments'!$J$2:$J$500,0)),"")</f>
        <v/>
      </c>
      <c r="D231" t="str">
        <f>IFERROR(INDEX('Orders &amp; Payments'!$H$2:$H$500,MATCH($E231,'Orders &amp; Payments'!$J$2:$J$500,0)),"")</f>
        <v/>
      </c>
      <c r="E231" s="1"/>
      <c r="F231" s="1"/>
      <c r="G231" s="1"/>
      <c r="H231" s="1"/>
    </row>
    <row r="232" spans="1:8" x14ac:dyDescent="0.25">
      <c r="A232" t="str">
        <f>IFERROR(INDEX('Orders &amp; Payments'!$A$2:$A$500,MATCH($E232,'Orders &amp; Payments'!$J$2:$J$500,0)),"")</f>
        <v/>
      </c>
      <c r="B232" t="str">
        <f>IFERROR(INDEX('Orders &amp; Payments'!$B$2:$B$500,MATCH($E232,'Orders &amp; Payments'!$J$2:$J$500,0)),"")</f>
        <v/>
      </c>
      <c r="C232" t="str">
        <f>IFERROR(INDEX('Orders &amp; Payments'!$I$2:$I$500,MATCH($E232,'Orders &amp; Payments'!$J$2:$J$500,0)),"")</f>
        <v/>
      </c>
      <c r="D232" t="str">
        <f>IFERROR(INDEX('Orders &amp; Payments'!$H$2:$H$500,MATCH($E232,'Orders &amp; Payments'!$J$2:$J$500,0)),"")</f>
        <v/>
      </c>
      <c r="E232" s="1"/>
      <c r="F232" s="1"/>
      <c r="G232" s="1"/>
      <c r="H232" s="1"/>
    </row>
    <row r="233" spans="1:8" x14ac:dyDescent="0.25">
      <c r="A233" t="str">
        <f>IFERROR(INDEX('Orders &amp; Payments'!$A$2:$A$500,MATCH($E233,'Orders &amp; Payments'!$J$2:$J$500,0)),"")</f>
        <v/>
      </c>
      <c r="B233" t="str">
        <f>IFERROR(INDEX('Orders &amp; Payments'!$B$2:$B$500,MATCH($E233,'Orders &amp; Payments'!$J$2:$J$500,0)),"")</f>
        <v/>
      </c>
      <c r="C233" t="str">
        <f>IFERROR(INDEX('Orders &amp; Payments'!$I$2:$I$500,MATCH($E233,'Orders &amp; Payments'!$J$2:$J$500,0)),"")</f>
        <v/>
      </c>
      <c r="D233" t="str">
        <f>IFERROR(INDEX('Orders &amp; Payments'!$H$2:$H$500,MATCH($E233,'Orders &amp; Payments'!$J$2:$J$500,0)),"")</f>
        <v/>
      </c>
      <c r="E233" s="1"/>
      <c r="F233" s="1"/>
      <c r="G233" s="1"/>
      <c r="H233" s="1"/>
    </row>
    <row r="234" spans="1:8" x14ac:dyDescent="0.25">
      <c r="A234" t="str">
        <f>IFERROR(INDEX('Orders &amp; Payments'!$A$2:$A$500,MATCH($E234,'Orders &amp; Payments'!$J$2:$J$500,0)),"")</f>
        <v/>
      </c>
      <c r="B234" t="str">
        <f>IFERROR(INDEX('Orders &amp; Payments'!$B$2:$B$500,MATCH($E234,'Orders &amp; Payments'!$J$2:$J$500,0)),"")</f>
        <v/>
      </c>
      <c r="C234" t="str">
        <f>IFERROR(INDEX('Orders &amp; Payments'!$I$2:$I$500,MATCH($E234,'Orders &amp; Payments'!$J$2:$J$500,0)),"")</f>
        <v/>
      </c>
      <c r="D234" t="str">
        <f>IFERROR(INDEX('Orders &amp; Payments'!$H$2:$H$500,MATCH($E234,'Orders &amp; Payments'!$J$2:$J$500,0)),"")</f>
        <v/>
      </c>
      <c r="E234" s="1"/>
      <c r="F234" s="1"/>
      <c r="G234" s="1"/>
      <c r="H234" s="1"/>
    </row>
    <row r="235" spans="1:8" x14ac:dyDescent="0.25">
      <c r="A235" t="str">
        <f>IFERROR(INDEX('Orders &amp; Payments'!$A$2:$A$500,MATCH($E235,'Orders &amp; Payments'!$J$2:$J$500,0)),"")</f>
        <v/>
      </c>
      <c r="B235" t="str">
        <f>IFERROR(INDEX('Orders &amp; Payments'!$B$2:$B$500,MATCH($E235,'Orders &amp; Payments'!$J$2:$J$500,0)),"")</f>
        <v/>
      </c>
      <c r="C235" t="str">
        <f>IFERROR(INDEX('Orders &amp; Payments'!$I$2:$I$500,MATCH($E235,'Orders &amp; Payments'!$J$2:$J$500,0)),"")</f>
        <v/>
      </c>
      <c r="D235" t="str">
        <f>IFERROR(INDEX('Orders &amp; Payments'!$H$2:$H$500,MATCH($E235,'Orders &amp; Payments'!$J$2:$J$500,0)),"")</f>
        <v/>
      </c>
      <c r="E235" s="1"/>
      <c r="F235" s="1"/>
      <c r="G235" s="1"/>
      <c r="H235" s="1"/>
    </row>
    <row r="236" spans="1:8" x14ac:dyDescent="0.25">
      <c r="A236" t="str">
        <f>IFERROR(INDEX('Orders &amp; Payments'!$A$2:$A$500,MATCH($E236,'Orders &amp; Payments'!$J$2:$J$500,0)),"")</f>
        <v/>
      </c>
      <c r="B236" t="str">
        <f>IFERROR(INDEX('Orders &amp; Payments'!$B$2:$B$500,MATCH($E236,'Orders &amp; Payments'!$J$2:$J$500,0)),"")</f>
        <v/>
      </c>
      <c r="C236" t="str">
        <f>IFERROR(INDEX('Orders &amp; Payments'!$I$2:$I$500,MATCH($E236,'Orders &amp; Payments'!$J$2:$J$500,0)),"")</f>
        <v/>
      </c>
      <c r="D236" t="str">
        <f>IFERROR(INDEX('Orders &amp; Payments'!$H$2:$H$500,MATCH($E236,'Orders &amp; Payments'!$J$2:$J$500,0)),"")</f>
        <v/>
      </c>
      <c r="E236" s="1"/>
      <c r="F236" s="1"/>
      <c r="G236" s="1"/>
      <c r="H236" s="1"/>
    </row>
    <row r="237" spans="1:8" x14ac:dyDescent="0.25">
      <c r="A237" t="str">
        <f>IFERROR(INDEX('Orders &amp; Payments'!$A$2:$A$500,MATCH($E237,'Orders &amp; Payments'!$J$2:$J$500,0)),"")</f>
        <v/>
      </c>
      <c r="B237" t="str">
        <f>IFERROR(INDEX('Orders &amp; Payments'!$B$2:$B$500,MATCH($E237,'Orders &amp; Payments'!$J$2:$J$500,0)),"")</f>
        <v/>
      </c>
      <c r="C237" t="str">
        <f>IFERROR(INDEX('Orders &amp; Payments'!$I$2:$I$500,MATCH($E237,'Orders &amp; Payments'!$J$2:$J$500,0)),"")</f>
        <v/>
      </c>
      <c r="D237" t="str">
        <f>IFERROR(INDEX('Orders &amp; Payments'!$H$2:$H$500,MATCH($E237,'Orders &amp; Payments'!$J$2:$J$500,0)),"")</f>
        <v/>
      </c>
      <c r="E237" s="1"/>
      <c r="F237" s="1"/>
      <c r="G237" s="1"/>
      <c r="H237" s="1"/>
    </row>
    <row r="238" spans="1:8" x14ac:dyDescent="0.25">
      <c r="A238" t="str">
        <f>IFERROR(INDEX('Orders &amp; Payments'!$A$2:$A$500,MATCH($E238,'Orders &amp; Payments'!$J$2:$J$500,0)),"")</f>
        <v/>
      </c>
      <c r="B238" t="str">
        <f>IFERROR(INDEX('Orders &amp; Payments'!$B$2:$B$500,MATCH($E238,'Orders &amp; Payments'!$J$2:$J$500,0)),"")</f>
        <v/>
      </c>
      <c r="C238" t="str">
        <f>IFERROR(INDEX('Orders &amp; Payments'!$I$2:$I$500,MATCH($E238,'Orders &amp; Payments'!$J$2:$J$500,0)),"")</f>
        <v/>
      </c>
      <c r="D238" t="str">
        <f>IFERROR(INDEX('Orders &amp; Payments'!$H$2:$H$500,MATCH($E238,'Orders &amp; Payments'!$J$2:$J$500,0)),"")</f>
        <v/>
      </c>
      <c r="E238" s="1"/>
      <c r="F238" s="1"/>
      <c r="G238" s="1"/>
      <c r="H238" s="1"/>
    </row>
    <row r="239" spans="1:8" x14ac:dyDescent="0.25">
      <c r="A239" t="str">
        <f>IFERROR(INDEX('Orders &amp; Payments'!$A$2:$A$500,MATCH($E239,'Orders &amp; Payments'!$J$2:$J$500,0)),"")</f>
        <v/>
      </c>
      <c r="B239" t="str">
        <f>IFERROR(INDEX('Orders &amp; Payments'!$B$2:$B$500,MATCH($E239,'Orders &amp; Payments'!$J$2:$J$500,0)),"")</f>
        <v/>
      </c>
      <c r="C239" t="str">
        <f>IFERROR(INDEX('Orders &amp; Payments'!$I$2:$I$500,MATCH($E239,'Orders &amp; Payments'!$J$2:$J$500,0)),"")</f>
        <v/>
      </c>
      <c r="D239" t="str">
        <f>IFERROR(INDEX('Orders &amp; Payments'!$H$2:$H$500,MATCH($E239,'Orders &amp; Payments'!$J$2:$J$500,0)),"")</f>
        <v/>
      </c>
      <c r="E239" s="1"/>
      <c r="F239" s="1"/>
      <c r="G239" s="1"/>
      <c r="H239" s="1"/>
    </row>
    <row r="240" spans="1:8" x14ac:dyDescent="0.25">
      <c r="A240" t="str">
        <f>IFERROR(INDEX('Orders &amp; Payments'!$A$2:$A$500,MATCH($E240,'Orders &amp; Payments'!$J$2:$J$500,0)),"")</f>
        <v/>
      </c>
      <c r="B240" t="str">
        <f>IFERROR(INDEX('Orders &amp; Payments'!$B$2:$B$500,MATCH($E240,'Orders &amp; Payments'!$J$2:$J$500,0)),"")</f>
        <v/>
      </c>
      <c r="C240" t="str">
        <f>IFERROR(INDEX('Orders &amp; Payments'!$I$2:$I$500,MATCH($E240,'Orders &amp; Payments'!$J$2:$J$500,0)),"")</f>
        <v/>
      </c>
      <c r="D240" t="str">
        <f>IFERROR(INDEX('Orders &amp; Payments'!$H$2:$H$500,MATCH($E240,'Orders &amp; Payments'!$J$2:$J$500,0)),"")</f>
        <v/>
      </c>
      <c r="E240" s="1"/>
      <c r="F240" s="1"/>
      <c r="G240" s="1"/>
      <c r="H240" s="1"/>
    </row>
    <row r="241" spans="1:8" x14ac:dyDescent="0.25">
      <c r="A241" t="str">
        <f>IFERROR(INDEX('Orders &amp; Payments'!$A$2:$A$500,MATCH($E241,'Orders &amp; Payments'!$J$2:$J$500,0)),"")</f>
        <v/>
      </c>
      <c r="B241" t="str">
        <f>IFERROR(INDEX('Orders &amp; Payments'!$B$2:$B$500,MATCH($E241,'Orders &amp; Payments'!$J$2:$J$500,0)),"")</f>
        <v/>
      </c>
      <c r="C241" t="str">
        <f>IFERROR(INDEX('Orders &amp; Payments'!$I$2:$I$500,MATCH($E241,'Orders &amp; Payments'!$J$2:$J$500,0)),"")</f>
        <v/>
      </c>
      <c r="D241" t="str">
        <f>IFERROR(INDEX('Orders &amp; Payments'!$H$2:$H$500,MATCH($E241,'Orders &amp; Payments'!$J$2:$J$500,0)),"")</f>
        <v/>
      </c>
      <c r="E241" s="1"/>
      <c r="F241" s="1"/>
      <c r="G241" s="1"/>
      <c r="H241" s="1"/>
    </row>
    <row r="242" spans="1:8" x14ac:dyDescent="0.25">
      <c r="A242" t="str">
        <f>IFERROR(INDEX('Orders &amp; Payments'!$A$2:$A$500,MATCH($E242,'Orders &amp; Payments'!$J$2:$J$500,0)),"")</f>
        <v/>
      </c>
      <c r="B242" t="str">
        <f>IFERROR(INDEX('Orders &amp; Payments'!$B$2:$B$500,MATCH($E242,'Orders &amp; Payments'!$J$2:$J$500,0)),"")</f>
        <v/>
      </c>
      <c r="C242" t="str">
        <f>IFERROR(INDEX('Orders &amp; Payments'!$I$2:$I$500,MATCH($E242,'Orders &amp; Payments'!$J$2:$J$500,0)),"")</f>
        <v/>
      </c>
      <c r="D242" t="str">
        <f>IFERROR(INDEX('Orders &amp; Payments'!$H$2:$H$500,MATCH($E242,'Orders &amp; Payments'!$J$2:$J$500,0)),"")</f>
        <v/>
      </c>
      <c r="E242" s="1"/>
      <c r="F242" s="1"/>
      <c r="G242" s="1"/>
      <c r="H242" s="1"/>
    </row>
    <row r="243" spans="1:8" x14ac:dyDescent="0.25">
      <c r="A243" t="str">
        <f>IFERROR(INDEX('Orders &amp; Payments'!$A$2:$A$500,MATCH($E243,'Orders &amp; Payments'!$J$2:$J$500,0)),"")</f>
        <v/>
      </c>
      <c r="B243" t="str">
        <f>IFERROR(INDEX('Orders &amp; Payments'!$B$2:$B$500,MATCH($E243,'Orders &amp; Payments'!$J$2:$J$500,0)),"")</f>
        <v/>
      </c>
      <c r="C243" t="str">
        <f>IFERROR(INDEX('Orders &amp; Payments'!$I$2:$I$500,MATCH($E243,'Orders &amp; Payments'!$J$2:$J$500,0)),"")</f>
        <v/>
      </c>
      <c r="D243" t="str">
        <f>IFERROR(INDEX('Orders &amp; Payments'!$H$2:$H$500,MATCH($E243,'Orders &amp; Payments'!$J$2:$J$500,0)),"")</f>
        <v/>
      </c>
      <c r="E243" s="1"/>
      <c r="F243" s="1"/>
      <c r="G243" s="1"/>
      <c r="H243" s="1"/>
    </row>
    <row r="244" spans="1:8" x14ac:dyDescent="0.25">
      <c r="A244" t="str">
        <f>IFERROR(INDEX('Orders &amp; Payments'!$A$2:$A$500,MATCH($E244,'Orders &amp; Payments'!$J$2:$J$500,0)),"")</f>
        <v/>
      </c>
      <c r="B244" t="str">
        <f>IFERROR(INDEX('Orders &amp; Payments'!$B$2:$B$500,MATCH($E244,'Orders &amp; Payments'!$J$2:$J$500,0)),"")</f>
        <v/>
      </c>
      <c r="C244" t="str">
        <f>IFERROR(INDEX('Orders &amp; Payments'!$I$2:$I$500,MATCH($E244,'Orders &amp; Payments'!$J$2:$J$500,0)),"")</f>
        <v/>
      </c>
      <c r="D244" t="str">
        <f>IFERROR(INDEX('Orders &amp; Payments'!$H$2:$H$500,MATCH($E244,'Orders &amp; Payments'!$J$2:$J$500,0)),"")</f>
        <v/>
      </c>
      <c r="E244" s="1"/>
      <c r="F244" s="1"/>
      <c r="G244" s="1"/>
      <c r="H244" s="1"/>
    </row>
    <row r="245" spans="1:8" x14ac:dyDescent="0.25">
      <c r="A245" t="str">
        <f>IFERROR(INDEX('Orders &amp; Payments'!$A$2:$A$500,MATCH($E245,'Orders &amp; Payments'!$J$2:$J$500,0)),"")</f>
        <v/>
      </c>
      <c r="B245" t="str">
        <f>IFERROR(INDEX('Orders &amp; Payments'!$B$2:$B$500,MATCH($E245,'Orders &amp; Payments'!$J$2:$J$500,0)),"")</f>
        <v/>
      </c>
      <c r="C245" t="str">
        <f>IFERROR(INDEX('Orders &amp; Payments'!$I$2:$I$500,MATCH($E245,'Orders &amp; Payments'!$J$2:$J$500,0)),"")</f>
        <v/>
      </c>
      <c r="D245" t="str">
        <f>IFERROR(INDEX('Orders &amp; Payments'!$H$2:$H$500,MATCH($E245,'Orders &amp; Payments'!$J$2:$J$500,0)),"")</f>
        <v/>
      </c>
      <c r="E245" s="1"/>
      <c r="F245" s="1"/>
      <c r="G245" s="1"/>
      <c r="H245" s="1"/>
    </row>
    <row r="246" spans="1:8" x14ac:dyDescent="0.25">
      <c r="A246" t="str">
        <f>IFERROR(INDEX('Orders &amp; Payments'!$A$2:$A$500,MATCH($E246,'Orders &amp; Payments'!$J$2:$J$500,0)),"")</f>
        <v/>
      </c>
      <c r="B246" t="str">
        <f>IFERROR(INDEX('Orders &amp; Payments'!$B$2:$B$500,MATCH($E246,'Orders &amp; Payments'!$J$2:$J$500,0)),"")</f>
        <v/>
      </c>
      <c r="C246" t="str">
        <f>IFERROR(INDEX('Orders &amp; Payments'!$I$2:$I$500,MATCH($E246,'Orders &amp; Payments'!$J$2:$J$500,0)),"")</f>
        <v/>
      </c>
      <c r="D246" t="str">
        <f>IFERROR(INDEX('Orders &amp; Payments'!$H$2:$H$500,MATCH($E246,'Orders &amp; Payments'!$J$2:$J$500,0)),"")</f>
        <v/>
      </c>
      <c r="E246" s="1"/>
      <c r="F246" s="1"/>
      <c r="G246" s="1"/>
      <c r="H246" s="1"/>
    </row>
    <row r="247" spans="1:8" x14ac:dyDescent="0.25">
      <c r="A247" t="str">
        <f>IFERROR(INDEX('Orders &amp; Payments'!$A$2:$A$500,MATCH($E247,'Orders &amp; Payments'!$J$2:$J$500,0)),"")</f>
        <v/>
      </c>
      <c r="B247" t="str">
        <f>IFERROR(INDEX('Orders &amp; Payments'!$B$2:$B$500,MATCH($E247,'Orders &amp; Payments'!$J$2:$J$500,0)),"")</f>
        <v/>
      </c>
      <c r="C247" t="str">
        <f>IFERROR(INDEX('Orders &amp; Payments'!$I$2:$I$500,MATCH($E247,'Orders &amp; Payments'!$J$2:$J$500,0)),"")</f>
        <v/>
      </c>
      <c r="D247" t="str">
        <f>IFERROR(INDEX('Orders &amp; Payments'!$H$2:$H$500,MATCH($E247,'Orders &amp; Payments'!$J$2:$J$500,0)),"")</f>
        <v/>
      </c>
      <c r="E247" s="1"/>
      <c r="F247" s="1"/>
      <c r="G247" s="1"/>
      <c r="H247" s="1"/>
    </row>
    <row r="248" spans="1:8" x14ac:dyDescent="0.25">
      <c r="A248" t="str">
        <f>IFERROR(INDEX('Orders &amp; Payments'!$A$2:$A$500,MATCH($E248,'Orders &amp; Payments'!$J$2:$J$500,0)),"")</f>
        <v/>
      </c>
      <c r="B248" t="str">
        <f>IFERROR(INDEX('Orders &amp; Payments'!$B$2:$B$500,MATCH($E248,'Orders &amp; Payments'!$J$2:$J$500,0)),"")</f>
        <v/>
      </c>
      <c r="C248" t="str">
        <f>IFERROR(INDEX('Orders &amp; Payments'!$I$2:$I$500,MATCH($E248,'Orders &amp; Payments'!$J$2:$J$500,0)),"")</f>
        <v/>
      </c>
      <c r="D248" t="str">
        <f>IFERROR(INDEX('Orders &amp; Payments'!$H$2:$H$500,MATCH($E248,'Orders &amp; Payments'!$J$2:$J$500,0)),"")</f>
        <v/>
      </c>
      <c r="E248" s="1"/>
      <c r="F248" s="1"/>
      <c r="G248" s="1"/>
      <c r="H248" s="1"/>
    </row>
    <row r="249" spans="1:8" x14ac:dyDescent="0.25">
      <c r="A249" t="str">
        <f>IFERROR(INDEX('Orders &amp; Payments'!$A$2:$A$500,MATCH($E249,'Orders &amp; Payments'!$J$2:$J$500,0)),"")</f>
        <v/>
      </c>
      <c r="B249" t="str">
        <f>IFERROR(INDEX('Orders &amp; Payments'!$B$2:$B$500,MATCH($E249,'Orders &amp; Payments'!$J$2:$J$500,0)),"")</f>
        <v/>
      </c>
      <c r="C249" t="str">
        <f>IFERROR(INDEX('Orders &amp; Payments'!$I$2:$I$500,MATCH($E249,'Orders &amp; Payments'!$J$2:$J$500,0)),"")</f>
        <v/>
      </c>
      <c r="D249" t="str">
        <f>IFERROR(INDEX('Orders &amp; Payments'!$H$2:$H$500,MATCH($E249,'Orders &amp; Payments'!$J$2:$J$500,0)),"")</f>
        <v/>
      </c>
      <c r="E249" s="1"/>
      <c r="F249" s="1"/>
      <c r="G249" s="1"/>
      <c r="H249" s="1"/>
    </row>
    <row r="250" spans="1:8" x14ac:dyDescent="0.25">
      <c r="A250" t="str">
        <f>IFERROR(INDEX('Orders &amp; Payments'!$A$2:$A$500,MATCH($E250,'Orders &amp; Payments'!$J$2:$J$500,0)),"")</f>
        <v/>
      </c>
      <c r="B250" t="str">
        <f>IFERROR(INDEX('Orders &amp; Payments'!$B$2:$B$500,MATCH($E250,'Orders &amp; Payments'!$J$2:$J$500,0)),"")</f>
        <v/>
      </c>
      <c r="C250" t="str">
        <f>IFERROR(INDEX('Orders &amp; Payments'!$I$2:$I$500,MATCH($E250,'Orders &amp; Payments'!$J$2:$J$500,0)),"")</f>
        <v/>
      </c>
      <c r="D250" t="str">
        <f>IFERROR(INDEX('Orders &amp; Payments'!$H$2:$H$500,MATCH($E250,'Orders &amp; Payments'!$J$2:$J$500,0)),"")</f>
        <v/>
      </c>
      <c r="E250" s="1"/>
      <c r="F250" s="1"/>
      <c r="G250" s="1"/>
      <c r="H250" s="1"/>
    </row>
    <row r="251" spans="1:8" x14ac:dyDescent="0.25">
      <c r="A251" t="str">
        <f>IFERROR(INDEX('Orders &amp; Payments'!$A$2:$A$500,MATCH($E251,'Orders &amp; Payments'!$J$2:$J$500,0)),"")</f>
        <v/>
      </c>
      <c r="B251" t="str">
        <f>IFERROR(INDEX('Orders &amp; Payments'!$B$2:$B$500,MATCH($E251,'Orders &amp; Payments'!$J$2:$J$500,0)),"")</f>
        <v/>
      </c>
      <c r="C251" t="str">
        <f>IFERROR(INDEX('Orders &amp; Payments'!$I$2:$I$500,MATCH($E251,'Orders &amp; Payments'!$J$2:$J$500,0)),"")</f>
        <v/>
      </c>
      <c r="D251" t="str">
        <f>IFERROR(INDEX('Orders &amp; Payments'!$H$2:$H$500,MATCH($E251,'Orders &amp; Payments'!$J$2:$J$500,0)),"")</f>
        <v/>
      </c>
      <c r="E251" s="1"/>
      <c r="F251" s="1"/>
      <c r="G251" s="1"/>
      <c r="H251" s="1"/>
    </row>
    <row r="252" spans="1:8" x14ac:dyDescent="0.25">
      <c r="A252" t="str">
        <f>IFERROR(INDEX('Orders &amp; Payments'!$A$2:$A$500,MATCH($E252,'Orders &amp; Payments'!$J$2:$J$500,0)),"")</f>
        <v/>
      </c>
      <c r="B252" t="str">
        <f>IFERROR(INDEX('Orders &amp; Payments'!$B$2:$B$500,MATCH($E252,'Orders &amp; Payments'!$J$2:$J$500,0)),"")</f>
        <v/>
      </c>
      <c r="C252" t="str">
        <f>IFERROR(INDEX('Orders &amp; Payments'!$I$2:$I$500,MATCH($E252,'Orders &amp; Payments'!$J$2:$J$500,0)),"")</f>
        <v/>
      </c>
      <c r="D252" t="str">
        <f>IFERROR(INDEX('Orders &amp; Payments'!$H$2:$H$500,MATCH($E252,'Orders &amp; Payments'!$J$2:$J$500,0)),"")</f>
        <v/>
      </c>
      <c r="E252" s="1"/>
      <c r="F252" s="1"/>
      <c r="G252" s="1"/>
      <c r="H252" s="1"/>
    </row>
    <row r="253" spans="1:8" x14ac:dyDescent="0.25">
      <c r="A253" t="str">
        <f>IFERROR(INDEX('Orders &amp; Payments'!$A$2:$A$500,MATCH($E253,'Orders &amp; Payments'!$J$2:$J$500,0)),"")</f>
        <v/>
      </c>
      <c r="B253" t="str">
        <f>IFERROR(INDEX('Orders &amp; Payments'!$B$2:$B$500,MATCH($E253,'Orders &amp; Payments'!$J$2:$J$500,0)),"")</f>
        <v/>
      </c>
      <c r="C253" t="str">
        <f>IFERROR(INDEX('Orders &amp; Payments'!$I$2:$I$500,MATCH($E253,'Orders &amp; Payments'!$J$2:$J$500,0)),"")</f>
        <v/>
      </c>
      <c r="D253" t="str">
        <f>IFERROR(INDEX('Orders &amp; Payments'!$H$2:$H$500,MATCH($E253,'Orders &amp; Payments'!$J$2:$J$500,0)),"")</f>
        <v/>
      </c>
      <c r="E253" s="1"/>
      <c r="F253" s="1"/>
      <c r="G253" s="1"/>
      <c r="H253" s="1"/>
    </row>
    <row r="254" spans="1:8" x14ac:dyDescent="0.25">
      <c r="A254" t="str">
        <f>IFERROR(INDEX('Orders &amp; Payments'!$A$2:$A$500,MATCH($E254,'Orders &amp; Payments'!$J$2:$J$500,0)),"")</f>
        <v/>
      </c>
      <c r="B254" t="str">
        <f>IFERROR(INDEX('Orders &amp; Payments'!$B$2:$B$500,MATCH($E254,'Orders &amp; Payments'!$J$2:$J$500,0)),"")</f>
        <v/>
      </c>
      <c r="C254" t="str">
        <f>IFERROR(INDEX('Orders &amp; Payments'!$I$2:$I$500,MATCH($E254,'Orders &amp; Payments'!$J$2:$J$500,0)),"")</f>
        <v/>
      </c>
      <c r="D254" t="str">
        <f>IFERROR(INDEX('Orders &amp; Payments'!$H$2:$H$500,MATCH($E254,'Orders &amp; Payments'!$J$2:$J$500,0)),"")</f>
        <v/>
      </c>
      <c r="E254" s="1"/>
      <c r="F254" s="1"/>
      <c r="G254" s="1"/>
      <c r="H254" s="1"/>
    </row>
    <row r="255" spans="1:8" x14ac:dyDescent="0.25">
      <c r="A255" t="str">
        <f>IFERROR(INDEX('Orders &amp; Payments'!$A$2:$A$500,MATCH($E255,'Orders &amp; Payments'!$J$2:$J$500,0)),"")</f>
        <v/>
      </c>
      <c r="B255" t="str">
        <f>IFERROR(INDEX('Orders &amp; Payments'!$B$2:$B$500,MATCH($E255,'Orders &amp; Payments'!$J$2:$J$500,0)),"")</f>
        <v/>
      </c>
      <c r="C255" t="str">
        <f>IFERROR(INDEX('Orders &amp; Payments'!$I$2:$I$500,MATCH($E255,'Orders &amp; Payments'!$J$2:$J$500,0)),"")</f>
        <v/>
      </c>
      <c r="D255" t="str">
        <f>IFERROR(INDEX('Orders &amp; Payments'!$H$2:$H$500,MATCH($E255,'Orders &amp; Payments'!$J$2:$J$500,0)),"")</f>
        <v/>
      </c>
      <c r="E255" s="1"/>
      <c r="F255" s="1"/>
      <c r="G255" s="1"/>
      <c r="H255" s="1"/>
    </row>
    <row r="256" spans="1:8" x14ac:dyDescent="0.25">
      <c r="A256" t="str">
        <f>IFERROR(INDEX('Orders &amp; Payments'!$A$2:$A$500,MATCH($E256,'Orders &amp; Payments'!$J$2:$J$500,0)),"")</f>
        <v/>
      </c>
      <c r="B256" t="str">
        <f>IFERROR(INDEX('Orders &amp; Payments'!$B$2:$B$500,MATCH($E256,'Orders &amp; Payments'!$J$2:$J$500,0)),"")</f>
        <v/>
      </c>
      <c r="C256" t="str">
        <f>IFERROR(INDEX('Orders &amp; Payments'!$I$2:$I$500,MATCH($E256,'Orders &amp; Payments'!$J$2:$J$500,0)),"")</f>
        <v/>
      </c>
      <c r="D256" t="str">
        <f>IFERROR(INDEX('Orders &amp; Payments'!$H$2:$H$500,MATCH($E256,'Orders &amp; Payments'!$J$2:$J$500,0)),"")</f>
        <v/>
      </c>
      <c r="E256" s="1"/>
      <c r="F256" s="1"/>
      <c r="G256" s="1"/>
      <c r="H256" s="1"/>
    </row>
    <row r="257" spans="1:8" x14ac:dyDescent="0.25">
      <c r="A257" t="str">
        <f>IFERROR(INDEX('Orders &amp; Payments'!$A$2:$A$500,MATCH($E257,'Orders &amp; Payments'!$J$2:$J$500,0)),"")</f>
        <v/>
      </c>
      <c r="B257" t="str">
        <f>IFERROR(INDEX('Orders &amp; Payments'!$B$2:$B$500,MATCH($E257,'Orders &amp; Payments'!$J$2:$J$500,0)),"")</f>
        <v/>
      </c>
      <c r="C257" t="str">
        <f>IFERROR(INDEX('Orders &amp; Payments'!$I$2:$I$500,MATCH($E257,'Orders &amp; Payments'!$J$2:$J$500,0)),"")</f>
        <v/>
      </c>
      <c r="D257" t="str">
        <f>IFERROR(INDEX('Orders &amp; Payments'!$H$2:$H$500,MATCH($E257,'Orders &amp; Payments'!$J$2:$J$500,0)),"")</f>
        <v/>
      </c>
      <c r="E257" s="1"/>
      <c r="F257" s="1"/>
      <c r="G257" s="1"/>
      <c r="H257" s="1"/>
    </row>
    <row r="258" spans="1:8" x14ac:dyDescent="0.25">
      <c r="A258" t="str">
        <f>IFERROR(INDEX('Orders &amp; Payments'!$A$2:$A$500,MATCH($E258,'Orders &amp; Payments'!$J$2:$J$500,0)),"")</f>
        <v/>
      </c>
      <c r="B258" t="str">
        <f>IFERROR(INDEX('Orders &amp; Payments'!$B$2:$B$500,MATCH($E258,'Orders &amp; Payments'!$J$2:$J$500,0)),"")</f>
        <v/>
      </c>
      <c r="C258" t="str">
        <f>IFERROR(INDEX('Orders &amp; Payments'!$I$2:$I$500,MATCH($E258,'Orders &amp; Payments'!$J$2:$J$500,0)),"")</f>
        <v/>
      </c>
      <c r="D258" t="str">
        <f>IFERROR(INDEX('Orders &amp; Payments'!$H$2:$H$500,MATCH($E258,'Orders &amp; Payments'!$J$2:$J$500,0)),"")</f>
        <v/>
      </c>
      <c r="E258" s="1"/>
      <c r="F258" s="1"/>
      <c r="G258" s="1"/>
      <c r="H258" s="1"/>
    </row>
    <row r="259" spans="1:8" x14ac:dyDescent="0.25">
      <c r="A259" t="str">
        <f>IFERROR(INDEX('Orders &amp; Payments'!$A$2:$A$500,MATCH($E259,'Orders &amp; Payments'!$J$2:$J$500,0)),"")</f>
        <v/>
      </c>
      <c r="B259" t="str">
        <f>IFERROR(INDEX('Orders &amp; Payments'!$B$2:$B$500,MATCH($E259,'Orders &amp; Payments'!$J$2:$J$500,0)),"")</f>
        <v/>
      </c>
      <c r="C259" t="str">
        <f>IFERROR(INDEX('Orders &amp; Payments'!$I$2:$I$500,MATCH($E259,'Orders &amp; Payments'!$J$2:$J$500,0)),"")</f>
        <v/>
      </c>
      <c r="D259" t="str">
        <f>IFERROR(INDEX('Orders &amp; Payments'!$H$2:$H$500,MATCH($E259,'Orders &amp; Payments'!$J$2:$J$500,0)),"")</f>
        <v/>
      </c>
      <c r="E259" s="1"/>
      <c r="F259" s="1"/>
      <c r="G259" s="1"/>
      <c r="H259" s="1"/>
    </row>
    <row r="260" spans="1:8" x14ac:dyDescent="0.25">
      <c r="A260" t="str">
        <f>IFERROR(INDEX('Orders &amp; Payments'!$A$2:$A$500,MATCH($E260,'Orders &amp; Payments'!$J$2:$J$500,0)),"")</f>
        <v/>
      </c>
      <c r="B260" t="str">
        <f>IFERROR(INDEX('Orders &amp; Payments'!$B$2:$B$500,MATCH($E260,'Orders &amp; Payments'!$J$2:$J$500,0)),"")</f>
        <v/>
      </c>
      <c r="C260" t="str">
        <f>IFERROR(INDEX('Orders &amp; Payments'!$I$2:$I$500,MATCH($E260,'Orders &amp; Payments'!$J$2:$J$500,0)),"")</f>
        <v/>
      </c>
      <c r="D260" t="str">
        <f>IFERROR(INDEX('Orders &amp; Payments'!$H$2:$H$500,MATCH($E260,'Orders &amp; Payments'!$J$2:$J$500,0)),"")</f>
        <v/>
      </c>
      <c r="E260" s="1"/>
      <c r="F260" s="1"/>
      <c r="G260" s="1"/>
      <c r="H260" s="1"/>
    </row>
    <row r="261" spans="1:8" x14ac:dyDescent="0.25">
      <c r="A261" t="str">
        <f>IFERROR(INDEX('Orders &amp; Payments'!$A$2:$A$500,MATCH($E261,'Orders &amp; Payments'!$J$2:$J$500,0)),"")</f>
        <v/>
      </c>
      <c r="B261" t="str">
        <f>IFERROR(INDEX('Orders &amp; Payments'!$B$2:$B$500,MATCH($E261,'Orders &amp; Payments'!$J$2:$J$500,0)),"")</f>
        <v/>
      </c>
      <c r="C261" t="str">
        <f>IFERROR(INDEX('Orders &amp; Payments'!$I$2:$I$500,MATCH($E261,'Orders &amp; Payments'!$J$2:$J$500,0)),"")</f>
        <v/>
      </c>
      <c r="D261" t="str">
        <f>IFERROR(INDEX('Orders &amp; Payments'!$H$2:$H$500,MATCH($E261,'Orders &amp; Payments'!$J$2:$J$500,0)),"")</f>
        <v/>
      </c>
      <c r="E261" s="1"/>
      <c r="F261" s="1"/>
      <c r="G261" s="1"/>
      <c r="H261" s="1"/>
    </row>
    <row r="262" spans="1:8" x14ac:dyDescent="0.25">
      <c r="A262" t="str">
        <f>IFERROR(INDEX('Orders &amp; Payments'!$A$2:$A$500,MATCH($E262,'Orders &amp; Payments'!$J$2:$J$500,0)),"")</f>
        <v/>
      </c>
      <c r="B262" t="str">
        <f>IFERROR(INDEX('Orders &amp; Payments'!$B$2:$B$500,MATCH($E262,'Orders &amp; Payments'!$J$2:$J$500,0)),"")</f>
        <v/>
      </c>
      <c r="C262" t="str">
        <f>IFERROR(INDEX('Orders &amp; Payments'!$I$2:$I$500,MATCH($E262,'Orders &amp; Payments'!$J$2:$J$500,0)),"")</f>
        <v/>
      </c>
      <c r="D262" t="str">
        <f>IFERROR(INDEX('Orders &amp; Payments'!$H$2:$H$500,MATCH($E262,'Orders &amp; Payments'!$J$2:$J$500,0)),"")</f>
        <v/>
      </c>
      <c r="E262" s="1"/>
      <c r="F262" s="1"/>
      <c r="G262" s="1"/>
      <c r="H262" s="1"/>
    </row>
    <row r="263" spans="1:8" x14ac:dyDescent="0.25">
      <c r="A263" t="str">
        <f>IFERROR(INDEX('Orders &amp; Payments'!$A$2:$A$500,MATCH($E263,'Orders &amp; Payments'!$J$2:$J$500,0)),"")</f>
        <v/>
      </c>
      <c r="B263" t="str">
        <f>IFERROR(INDEX('Orders &amp; Payments'!$B$2:$B$500,MATCH($E263,'Orders &amp; Payments'!$J$2:$J$500,0)),"")</f>
        <v/>
      </c>
      <c r="C263" t="str">
        <f>IFERROR(INDEX('Orders &amp; Payments'!$I$2:$I$500,MATCH($E263,'Orders &amp; Payments'!$J$2:$J$500,0)),"")</f>
        <v/>
      </c>
      <c r="D263" t="str">
        <f>IFERROR(INDEX('Orders &amp; Payments'!$H$2:$H$500,MATCH($E263,'Orders &amp; Payments'!$J$2:$J$500,0)),"")</f>
        <v/>
      </c>
      <c r="E263" s="1"/>
      <c r="F263" s="1"/>
      <c r="G263" s="1"/>
      <c r="H263" s="1"/>
    </row>
    <row r="264" spans="1:8" x14ac:dyDescent="0.25">
      <c r="A264" t="str">
        <f>IFERROR(INDEX('Orders &amp; Payments'!$A$2:$A$500,MATCH($E264,'Orders &amp; Payments'!$J$2:$J$500,0)),"")</f>
        <v/>
      </c>
      <c r="B264" t="str">
        <f>IFERROR(INDEX('Orders &amp; Payments'!$B$2:$B$500,MATCH($E264,'Orders &amp; Payments'!$J$2:$J$500,0)),"")</f>
        <v/>
      </c>
      <c r="C264" t="str">
        <f>IFERROR(INDEX('Orders &amp; Payments'!$I$2:$I$500,MATCH($E264,'Orders &amp; Payments'!$J$2:$J$500,0)),"")</f>
        <v/>
      </c>
      <c r="D264" t="str">
        <f>IFERROR(INDEX('Orders &amp; Payments'!$H$2:$H$500,MATCH($E264,'Orders &amp; Payments'!$J$2:$J$500,0)),"")</f>
        <v/>
      </c>
      <c r="E264" s="1"/>
      <c r="F264" s="1"/>
      <c r="G264" s="1"/>
      <c r="H264" s="1"/>
    </row>
    <row r="265" spans="1:8" x14ac:dyDescent="0.25">
      <c r="A265" t="str">
        <f>IFERROR(INDEX('Orders &amp; Payments'!$A$2:$A$500,MATCH($E265,'Orders &amp; Payments'!$J$2:$J$500,0)),"")</f>
        <v/>
      </c>
      <c r="B265" t="str">
        <f>IFERROR(INDEX('Orders &amp; Payments'!$B$2:$B$500,MATCH($E265,'Orders &amp; Payments'!$J$2:$J$500,0)),"")</f>
        <v/>
      </c>
      <c r="C265" t="str">
        <f>IFERROR(INDEX('Orders &amp; Payments'!$I$2:$I$500,MATCH($E265,'Orders &amp; Payments'!$J$2:$J$500,0)),"")</f>
        <v/>
      </c>
      <c r="D265" t="str">
        <f>IFERROR(INDEX('Orders &amp; Payments'!$H$2:$H$500,MATCH($E265,'Orders &amp; Payments'!$J$2:$J$500,0)),"")</f>
        <v/>
      </c>
      <c r="E265" s="1"/>
      <c r="F265" s="1"/>
      <c r="G265" s="1"/>
      <c r="H265" s="1"/>
    </row>
    <row r="266" spans="1:8" x14ac:dyDescent="0.25">
      <c r="A266" t="str">
        <f>IFERROR(INDEX('Orders &amp; Payments'!$A$2:$A$500,MATCH($E266,'Orders &amp; Payments'!$J$2:$J$500,0)),"")</f>
        <v/>
      </c>
      <c r="B266" t="str">
        <f>IFERROR(INDEX('Orders &amp; Payments'!$B$2:$B$500,MATCH($E266,'Orders &amp; Payments'!$J$2:$J$500,0)),"")</f>
        <v/>
      </c>
      <c r="C266" t="str">
        <f>IFERROR(INDEX('Orders &amp; Payments'!$I$2:$I$500,MATCH($E266,'Orders &amp; Payments'!$J$2:$J$500,0)),"")</f>
        <v/>
      </c>
      <c r="D266" t="str">
        <f>IFERROR(INDEX('Orders &amp; Payments'!$H$2:$H$500,MATCH($E266,'Orders &amp; Payments'!$J$2:$J$500,0)),"")</f>
        <v/>
      </c>
      <c r="E266" s="1"/>
      <c r="F266" s="1"/>
      <c r="G266" s="1"/>
      <c r="H266" s="1"/>
    </row>
    <row r="267" spans="1:8" x14ac:dyDescent="0.25">
      <c r="A267" t="str">
        <f>IFERROR(INDEX('Orders &amp; Payments'!$A$2:$A$500,MATCH($E267,'Orders &amp; Payments'!$J$2:$J$500,0)),"")</f>
        <v/>
      </c>
      <c r="B267" t="str">
        <f>IFERROR(INDEX('Orders &amp; Payments'!$B$2:$B$500,MATCH($E267,'Orders &amp; Payments'!$J$2:$J$500,0)),"")</f>
        <v/>
      </c>
      <c r="C267" t="str">
        <f>IFERROR(INDEX('Orders &amp; Payments'!$I$2:$I$500,MATCH($E267,'Orders &amp; Payments'!$J$2:$J$500,0)),"")</f>
        <v/>
      </c>
      <c r="D267" t="str">
        <f>IFERROR(INDEX('Orders &amp; Payments'!$H$2:$H$500,MATCH($E267,'Orders &amp; Payments'!$J$2:$J$500,0)),"")</f>
        <v/>
      </c>
      <c r="E267" s="1"/>
      <c r="F267" s="1"/>
      <c r="G267" s="1"/>
      <c r="H267" s="1"/>
    </row>
    <row r="268" spans="1:8" x14ac:dyDescent="0.25">
      <c r="A268" t="str">
        <f>IFERROR(INDEX('Orders &amp; Payments'!$A$2:$A$500,MATCH($E268,'Orders &amp; Payments'!$J$2:$J$500,0)),"")</f>
        <v/>
      </c>
      <c r="B268" t="str">
        <f>IFERROR(INDEX('Orders &amp; Payments'!$B$2:$B$500,MATCH($E268,'Orders &amp; Payments'!$J$2:$J$500,0)),"")</f>
        <v/>
      </c>
      <c r="C268" t="str">
        <f>IFERROR(INDEX('Orders &amp; Payments'!$I$2:$I$500,MATCH($E268,'Orders &amp; Payments'!$J$2:$J$500,0)),"")</f>
        <v/>
      </c>
      <c r="D268" t="str">
        <f>IFERROR(INDEX('Orders &amp; Payments'!$H$2:$H$500,MATCH($E268,'Orders &amp; Payments'!$J$2:$J$500,0)),"")</f>
        <v/>
      </c>
      <c r="E268" s="1"/>
      <c r="F268" s="1"/>
      <c r="G268" s="1"/>
      <c r="H268" s="1"/>
    </row>
    <row r="269" spans="1:8" x14ac:dyDescent="0.25">
      <c r="A269" t="str">
        <f>IFERROR(INDEX('Orders &amp; Payments'!$A$2:$A$500,MATCH($E269,'Orders &amp; Payments'!$J$2:$J$500,0)),"")</f>
        <v/>
      </c>
      <c r="B269" t="str">
        <f>IFERROR(INDEX('Orders &amp; Payments'!$B$2:$B$500,MATCH($E269,'Orders &amp; Payments'!$J$2:$J$500,0)),"")</f>
        <v/>
      </c>
      <c r="C269" t="str">
        <f>IFERROR(INDEX('Orders &amp; Payments'!$I$2:$I$500,MATCH($E269,'Orders &amp; Payments'!$J$2:$J$500,0)),"")</f>
        <v/>
      </c>
      <c r="D269" t="str">
        <f>IFERROR(INDEX('Orders &amp; Payments'!$H$2:$H$500,MATCH($E269,'Orders &amp; Payments'!$J$2:$J$500,0)),"")</f>
        <v/>
      </c>
      <c r="E269" s="1"/>
      <c r="F269" s="1"/>
      <c r="G269" s="1"/>
      <c r="H269" s="1"/>
    </row>
    <row r="270" spans="1:8" x14ac:dyDescent="0.25">
      <c r="A270" t="str">
        <f>IFERROR(INDEX('Orders &amp; Payments'!$A$2:$A$500,MATCH($E270,'Orders &amp; Payments'!$J$2:$J$500,0)),"")</f>
        <v/>
      </c>
      <c r="B270" t="str">
        <f>IFERROR(INDEX('Orders &amp; Payments'!$B$2:$B$500,MATCH($E270,'Orders &amp; Payments'!$J$2:$J$500,0)),"")</f>
        <v/>
      </c>
      <c r="C270" t="str">
        <f>IFERROR(INDEX('Orders &amp; Payments'!$I$2:$I$500,MATCH($E270,'Orders &amp; Payments'!$J$2:$J$500,0)),"")</f>
        <v/>
      </c>
      <c r="D270" t="str">
        <f>IFERROR(INDEX('Orders &amp; Payments'!$H$2:$H$500,MATCH($E270,'Orders &amp; Payments'!$J$2:$J$500,0)),"")</f>
        <v/>
      </c>
      <c r="E270" s="1"/>
      <c r="F270" s="1"/>
      <c r="G270" s="1"/>
      <c r="H270" s="1"/>
    </row>
    <row r="271" spans="1:8" x14ac:dyDescent="0.25">
      <c r="A271" t="str">
        <f>IFERROR(INDEX('Orders &amp; Payments'!$A$2:$A$500,MATCH($E271,'Orders &amp; Payments'!$J$2:$J$500,0)),"")</f>
        <v/>
      </c>
      <c r="B271" t="str">
        <f>IFERROR(INDEX('Orders &amp; Payments'!$B$2:$B$500,MATCH($E271,'Orders &amp; Payments'!$J$2:$J$500,0)),"")</f>
        <v/>
      </c>
      <c r="C271" t="str">
        <f>IFERROR(INDEX('Orders &amp; Payments'!$I$2:$I$500,MATCH($E271,'Orders &amp; Payments'!$J$2:$J$500,0)),"")</f>
        <v/>
      </c>
      <c r="D271" t="str">
        <f>IFERROR(INDEX('Orders &amp; Payments'!$H$2:$H$500,MATCH($E271,'Orders &amp; Payments'!$J$2:$J$500,0)),"")</f>
        <v/>
      </c>
      <c r="E271" s="1"/>
      <c r="F271" s="1"/>
      <c r="G271" s="1"/>
      <c r="H271" s="1"/>
    </row>
    <row r="272" spans="1:8" x14ac:dyDescent="0.25">
      <c r="A272" t="str">
        <f>IFERROR(INDEX('Orders &amp; Payments'!$A$2:$A$500,MATCH($E272,'Orders &amp; Payments'!$J$2:$J$500,0)),"")</f>
        <v/>
      </c>
      <c r="B272" t="str">
        <f>IFERROR(INDEX('Orders &amp; Payments'!$B$2:$B$500,MATCH($E272,'Orders &amp; Payments'!$J$2:$J$500,0)),"")</f>
        <v/>
      </c>
      <c r="C272" t="str">
        <f>IFERROR(INDEX('Orders &amp; Payments'!$I$2:$I$500,MATCH($E272,'Orders &amp; Payments'!$J$2:$J$500,0)),"")</f>
        <v/>
      </c>
      <c r="D272" t="str">
        <f>IFERROR(INDEX('Orders &amp; Payments'!$H$2:$H$500,MATCH($E272,'Orders &amp; Payments'!$J$2:$J$500,0)),"")</f>
        <v/>
      </c>
      <c r="E272" s="1"/>
      <c r="F272" s="1"/>
      <c r="G272" s="1"/>
      <c r="H272" s="1"/>
    </row>
    <row r="273" spans="1:8" x14ac:dyDescent="0.25">
      <c r="A273" t="str">
        <f>IFERROR(INDEX('Orders &amp; Payments'!$A$2:$A$500,MATCH($E273,'Orders &amp; Payments'!$J$2:$J$500,0)),"")</f>
        <v/>
      </c>
      <c r="B273" t="str">
        <f>IFERROR(INDEX('Orders &amp; Payments'!$B$2:$B$500,MATCH($E273,'Orders &amp; Payments'!$J$2:$J$500,0)),"")</f>
        <v/>
      </c>
      <c r="C273" t="str">
        <f>IFERROR(INDEX('Orders &amp; Payments'!$I$2:$I$500,MATCH($E273,'Orders &amp; Payments'!$J$2:$J$500,0)),"")</f>
        <v/>
      </c>
      <c r="D273" t="str">
        <f>IFERROR(INDEX('Orders &amp; Payments'!$H$2:$H$500,MATCH($E273,'Orders &amp; Payments'!$J$2:$J$500,0)),"")</f>
        <v/>
      </c>
      <c r="E273" s="1"/>
      <c r="F273" s="1"/>
      <c r="G273" s="1"/>
      <c r="H273" s="1"/>
    </row>
    <row r="274" spans="1:8" x14ac:dyDescent="0.25">
      <c r="A274" t="str">
        <f>IFERROR(INDEX('Orders &amp; Payments'!$A$2:$A$500,MATCH($E274,'Orders &amp; Payments'!$J$2:$J$500,0)),"")</f>
        <v/>
      </c>
      <c r="B274" t="str">
        <f>IFERROR(INDEX('Orders &amp; Payments'!$B$2:$B$500,MATCH($E274,'Orders &amp; Payments'!$J$2:$J$500,0)),"")</f>
        <v/>
      </c>
      <c r="C274" t="str">
        <f>IFERROR(INDEX('Orders &amp; Payments'!$I$2:$I$500,MATCH($E274,'Orders &amp; Payments'!$J$2:$J$500,0)),"")</f>
        <v/>
      </c>
      <c r="D274" t="str">
        <f>IFERROR(INDEX('Orders &amp; Payments'!$H$2:$H$500,MATCH($E274,'Orders &amp; Payments'!$J$2:$J$500,0)),"")</f>
        <v/>
      </c>
      <c r="E274" s="1"/>
      <c r="F274" s="1"/>
      <c r="G274" s="1"/>
      <c r="H274" s="1"/>
    </row>
    <row r="275" spans="1:8" x14ac:dyDescent="0.25">
      <c r="A275" t="str">
        <f>IFERROR(INDEX('Orders &amp; Payments'!$A$2:$A$500,MATCH($E275,'Orders &amp; Payments'!$J$2:$J$500,0)),"")</f>
        <v/>
      </c>
      <c r="B275" t="str">
        <f>IFERROR(INDEX('Orders &amp; Payments'!$B$2:$B$500,MATCH($E275,'Orders &amp; Payments'!$J$2:$J$500,0)),"")</f>
        <v/>
      </c>
      <c r="C275" t="str">
        <f>IFERROR(INDEX('Orders &amp; Payments'!$I$2:$I$500,MATCH($E275,'Orders &amp; Payments'!$J$2:$J$500,0)),"")</f>
        <v/>
      </c>
      <c r="D275" t="str">
        <f>IFERROR(INDEX('Orders &amp; Payments'!$H$2:$H$500,MATCH($E275,'Orders &amp; Payments'!$J$2:$J$500,0)),"")</f>
        <v/>
      </c>
      <c r="E275" s="1"/>
      <c r="F275" s="1"/>
      <c r="G275" s="1"/>
      <c r="H275" s="1"/>
    </row>
    <row r="276" spans="1:8" x14ac:dyDescent="0.25">
      <c r="A276" t="str">
        <f>IFERROR(INDEX('Orders &amp; Payments'!$A$2:$A$500,MATCH($E276,'Orders &amp; Payments'!$J$2:$J$500,0)),"")</f>
        <v/>
      </c>
      <c r="B276" t="str">
        <f>IFERROR(INDEX('Orders &amp; Payments'!$B$2:$B$500,MATCH($E276,'Orders &amp; Payments'!$J$2:$J$500,0)),"")</f>
        <v/>
      </c>
      <c r="C276" t="str">
        <f>IFERROR(INDEX('Orders &amp; Payments'!$I$2:$I$500,MATCH($E276,'Orders &amp; Payments'!$J$2:$J$500,0)),"")</f>
        <v/>
      </c>
      <c r="D276" t="str">
        <f>IFERROR(INDEX('Orders &amp; Payments'!$H$2:$H$500,MATCH($E276,'Orders &amp; Payments'!$J$2:$J$500,0)),"")</f>
        <v/>
      </c>
      <c r="E276" s="1"/>
      <c r="F276" s="1"/>
      <c r="G276" s="1"/>
      <c r="H276" s="1"/>
    </row>
    <row r="277" spans="1:8" x14ac:dyDescent="0.25">
      <c r="A277" t="str">
        <f>IFERROR(INDEX('Orders &amp; Payments'!$A$2:$A$500,MATCH($E277,'Orders &amp; Payments'!$J$2:$J$500,0)),"")</f>
        <v/>
      </c>
      <c r="B277" t="str">
        <f>IFERROR(INDEX('Orders &amp; Payments'!$B$2:$B$500,MATCH($E277,'Orders &amp; Payments'!$J$2:$J$500,0)),"")</f>
        <v/>
      </c>
      <c r="C277" t="str">
        <f>IFERROR(INDEX('Orders &amp; Payments'!$I$2:$I$500,MATCH($E277,'Orders &amp; Payments'!$J$2:$J$500,0)),"")</f>
        <v/>
      </c>
      <c r="D277" t="str">
        <f>IFERROR(INDEX('Orders &amp; Payments'!$H$2:$H$500,MATCH($E277,'Orders &amp; Payments'!$J$2:$J$500,0)),"")</f>
        <v/>
      </c>
      <c r="E277" s="1"/>
      <c r="F277" s="1"/>
      <c r="G277" s="1"/>
      <c r="H277" s="1"/>
    </row>
    <row r="278" spans="1:8" x14ac:dyDescent="0.25">
      <c r="A278" t="str">
        <f>IFERROR(INDEX('Orders &amp; Payments'!$A$2:$A$500,MATCH($E278,'Orders &amp; Payments'!$J$2:$J$500,0)),"")</f>
        <v/>
      </c>
      <c r="B278" t="str">
        <f>IFERROR(INDEX('Orders &amp; Payments'!$B$2:$B$500,MATCH($E278,'Orders &amp; Payments'!$J$2:$J$500,0)),"")</f>
        <v/>
      </c>
      <c r="C278" t="str">
        <f>IFERROR(INDEX('Orders &amp; Payments'!$I$2:$I$500,MATCH($E278,'Orders &amp; Payments'!$J$2:$J$500,0)),"")</f>
        <v/>
      </c>
      <c r="D278" t="str">
        <f>IFERROR(INDEX('Orders &amp; Payments'!$H$2:$H$500,MATCH($E278,'Orders &amp; Payments'!$J$2:$J$500,0)),"")</f>
        <v/>
      </c>
      <c r="E278" s="1"/>
      <c r="F278" s="1"/>
      <c r="G278" s="1"/>
      <c r="H278" s="1"/>
    </row>
    <row r="279" spans="1:8" x14ac:dyDescent="0.25">
      <c r="A279" t="str">
        <f>IFERROR(INDEX('Orders &amp; Payments'!$A$2:$A$500,MATCH($E279,'Orders &amp; Payments'!$J$2:$J$500,0)),"")</f>
        <v/>
      </c>
      <c r="B279" t="str">
        <f>IFERROR(INDEX('Orders &amp; Payments'!$B$2:$B$500,MATCH($E279,'Orders &amp; Payments'!$J$2:$J$500,0)),"")</f>
        <v/>
      </c>
      <c r="C279" t="str">
        <f>IFERROR(INDEX('Orders &amp; Payments'!$I$2:$I$500,MATCH($E279,'Orders &amp; Payments'!$J$2:$J$500,0)),"")</f>
        <v/>
      </c>
      <c r="D279" t="str">
        <f>IFERROR(INDEX('Orders &amp; Payments'!$H$2:$H$500,MATCH($E279,'Orders &amp; Payments'!$J$2:$J$500,0)),"")</f>
        <v/>
      </c>
      <c r="E279" s="1"/>
      <c r="F279" s="1"/>
      <c r="G279" s="1"/>
      <c r="H279" s="1"/>
    </row>
    <row r="280" spans="1:8" x14ac:dyDescent="0.25">
      <c r="A280" t="str">
        <f>IFERROR(INDEX('Orders &amp; Payments'!$A$2:$A$500,MATCH($E280,'Orders &amp; Payments'!$J$2:$J$500,0)),"")</f>
        <v/>
      </c>
      <c r="B280" t="str">
        <f>IFERROR(INDEX('Orders &amp; Payments'!$B$2:$B$500,MATCH($E280,'Orders &amp; Payments'!$J$2:$J$500,0)),"")</f>
        <v/>
      </c>
      <c r="C280" t="str">
        <f>IFERROR(INDEX('Orders &amp; Payments'!$I$2:$I$500,MATCH($E280,'Orders &amp; Payments'!$J$2:$J$500,0)),"")</f>
        <v/>
      </c>
      <c r="D280" t="str">
        <f>IFERROR(INDEX('Orders &amp; Payments'!$H$2:$H$500,MATCH($E280,'Orders &amp; Payments'!$J$2:$J$500,0)),"")</f>
        <v/>
      </c>
      <c r="E280" s="1"/>
      <c r="F280" s="1"/>
      <c r="G280" s="1"/>
      <c r="H280" s="1"/>
    </row>
    <row r="281" spans="1:8" x14ac:dyDescent="0.25">
      <c r="A281" t="str">
        <f>IFERROR(INDEX('Orders &amp; Payments'!$A$2:$A$500,MATCH($E281,'Orders &amp; Payments'!$J$2:$J$500,0)),"")</f>
        <v/>
      </c>
      <c r="B281" t="str">
        <f>IFERROR(INDEX('Orders &amp; Payments'!$B$2:$B$500,MATCH($E281,'Orders &amp; Payments'!$J$2:$J$500,0)),"")</f>
        <v/>
      </c>
      <c r="C281" t="str">
        <f>IFERROR(INDEX('Orders &amp; Payments'!$I$2:$I$500,MATCH($E281,'Orders &amp; Payments'!$J$2:$J$500,0)),"")</f>
        <v/>
      </c>
      <c r="D281" t="str">
        <f>IFERROR(INDEX('Orders &amp; Payments'!$H$2:$H$500,MATCH($E281,'Orders &amp; Payments'!$J$2:$J$500,0)),"")</f>
        <v/>
      </c>
      <c r="E281" s="1"/>
      <c r="F281" s="1"/>
      <c r="G281" s="1"/>
      <c r="H281" s="1"/>
    </row>
    <row r="282" spans="1:8" x14ac:dyDescent="0.25">
      <c r="A282" t="str">
        <f>IFERROR(INDEX('Orders &amp; Payments'!$A$2:$A$500,MATCH($E282,'Orders &amp; Payments'!$J$2:$J$500,0)),"")</f>
        <v/>
      </c>
      <c r="B282" t="str">
        <f>IFERROR(INDEX('Orders &amp; Payments'!$B$2:$B$500,MATCH($E282,'Orders &amp; Payments'!$J$2:$J$500,0)),"")</f>
        <v/>
      </c>
      <c r="C282" t="str">
        <f>IFERROR(INDEX('Orders &amp; Payments'!$I$2:$I$500,MATCH($E282,'Orders &amp; Payments'!$J$2:$J$500,0)),"")</f>
        <v/>
      </c>
      <c r="D282" t="str">
        <f>IFERROR(INDEX('Orders &amp; Payments'!$H$2:$H$500,MATCH($E282,'Orders &amp; Payments'!$J$2:$J$500,0)),"")</f>
        <v/>
      </c>
      <c r="E282" s="1"/>
      <c r="F282" s="1"/>
      <c r="G282" s="1"/>
      <c r="H282" s="1"/>
    </row>
    <row r="283" spans="1:8" x14ac:dyDescent="0.25">
      <c r="A283" t="str">
        <f>IFERROR(INDEX('Orders &amp; Payments'!$A$2:$A$500,MATCH($E283,'Orders &amp; Payments'!$J$2:$J$500,0)),"")</f>
        <v/>
      </c>
      <c r="B283" t="str">
        <f>IFERROR(INDEX('Orders &amp; Payments'!$B$2:$B$500,MATCH($E283,'Orders &amp; Payments'!$J$2:$J$500,0)),"")</f>
        <v/>
      </c>
      <c r="C283" t="str">
        <f>IFERROR(INDEX('Orders &amp; Payments'!$I$2:$I$500,MATCH($E283,'Orders &amp; Payments'!$J$2:$J$500,0)),"")</f>
        <v/>
      </c>
      <c r="D283" t="str">
        <f>IFERROR(INDEX('Orders &amp; Payments'!$H$2:$H$500,MATCH($E283,'Orders &amp; Payments'!$J$2:$J$500,0)),"")</f>
        <v/>
      </c>
      <c r="E283" s="1"/>
      <c r="F283" s="1"/>
      <c r="G283" s="1"/>
      <c r="H283" s="1"/>
    </row>
    <row r="284" spans="1:8" x14ac:dyDescent="0.25">
      <c r="A284" t="str">
        <f>IFERROR(INDEX('Orders &amp; Payments'!$A$2:$A$500,MATCH($E284,'Orders &amp; Payments'!$J$2:$J$500,0)),"")</f>
        <v/>
      </c>
      <c r="B284" t="str">
        <f>IFERROR(INDEX('Orders &amp; Payments'!$B$2:$B$500,MATCH($E284,'Orders &amp; Payments'!$J$2:$J$500,0)),"")</f>
        <v/>
      </c>
      <c r="C284" t="str">
        <f>IFERROR(INDEX('Orders &amp; Payments'!$I$2:$I$500,MATCH($E284,'Orders &amp; Payments'!$J$2:$J$500,0)),"")</f>
        <v/>
      </c>
      <c r="D284" t="str">
        <f>IFERROR(INDEX('Orders &amp; Payments'!$H$2:$H$500,MATCH($E284,'Orders &amp; Payments'!$J$2:$J$500,0)),"")</f>
        <v/>
      </c>
      <c r="E284" s="1"/>
      <c r="F284" s="1"/>
      <c r="G284" s="1"/>
      <c r="H284" s="1"/>
    </row>
    <row r="285" spans="1:8" x14ac:dyDescent="0.25">
      <c r="A285" t="str">
        <f>IFERROR(INDEX('Orders &amp; Payments'!$A$2:$A$500,MATCH($E285,'Orders &amp; Payments'!$J$2:$J$500,0)),"")</f>
        <v/>
      </c>
      <c r="B285" t="str">
        <f>IFERROR(INDEX('Orders &amp; Payments'!$B$2:$B$500,MATCH($E285,'Orders &amp; Payments'!$J$2:$J$500,0)),"")</f>
        <v/>
      </c>
      <c r="C285" t="str">
        <f>IFERROR(INDEX('Orders &amp; Payments'!$I$2:$I$500,MATCH($E285,'Orders &amp; Payments'!$J$2:$J$500,0)),"")</f>
        <v/>
      </c>
      <c r="D285" t="str">
        <f>IFERROR(INDEX('Orders &amp; Payments'!$H$2:$H$500,MATCH($E285,'Orders &amp; Payments'!$J$2:$J$500,0)),"")</f>
        <v/>
      </c>
      <c r="E285" s="1"/>
      <c r="F285" s="1"/>
      <c r="G285" s="1"/>
      <c r="H285" s="1"/>
    </row>
    <row r="286" spans="1:8" x14ac:dyDescent="0.25">
      <c r="A286" t="str">
        <f>IFERROR(INDEX('Orders &amp; Payments'!$A$2:$A$500,MATCH($E286,'Orders &amp; Payments'!$J$2:$J$500,0)),"")</f>
        <v/>
      </c>
      <c r="B286" t="str">
        <f>IFERROR(INDEX('Orders &amp; Payments'!$B$2:$B$500,MATCH($E286,'Orders &amp; Payments'!$J$2:$J$500,0)),"")</f>
        <v/>
      </c>
      <c r="C286" t="str">
        <f>IFERROR(INDEX('Orders &amp; Payments'!$I$2:$I$500,MATCH($E286,'Orders &amp; Payments'!$J$2:$J$500,0)),"")</f>
        <v/>
      </c>
      <c r="D286" t="str">
        <f>IFERROR(INDEX('Orders &amp; Payments'!$H$2:$H$500,MATCH($E286,'Orders &amp; Payments'!$J$2:$J$500,0)),"")</f>
        <v/>
      </c>
      <c r="E286" s="1"/>
      <c r="F286" s="1"/>
      <c r="G286" s="1"/>
      <c r="H286" s="1"/>
    </row>
    <row r="287" spans="1:8" x14ac:dyDescent="0.25">
      <c r="A287" t="str">
        <f>IFERROR(INDEX('Orders &amp; Payments'!$A$2:$A$500,MATCH($E287,'Orders &amp; Payments'!$J$2:$J$500,0)),"")</f>
        <v/>
      </c>
      <c r="B287" t="str">
        <f>IFERROR(INDEX('Orders &amp; Payments'!$B$2:$B$500,MATCH($E287,'Orders &amp; Payments'!$J$2:$J$500,0)),"")</f>
        <v/>
      </c>
      <c r="C287" t="str">
        <f>IFERROR(INDEX('Orders &amp; Payments'!$I$2:$I$500,MATCH($E287,'Orders &amp; Payments'!$J$2:$J$500,0)),"")</f>
        <v/>
      </c>
      <c r="D287" t="str">
        <f>IFERROR(INDEX('Orders &amp; Payments'!$H$2:$H$500,MATCH($E287,'Orders &amp; Payments'!$J$2:$J$500,0)),"")</f>
        <v/>
      </c>
      <c r="E287" s="1"/>
      <c r="F287" s="1"/>
      <c r="G287" s="1"/>
      <c r="H287" s="1"/>
    </row>
    <row r="288" spans="1:8" x14ac:dyDescent="0.25">
      <c r="A288" t="str">
        <f>IFERROR(INDEX('Orders &amp; Payments'!$A$2:$A$500,MATCH($E288,'Orders &amp; Payments'!$J$2:$J$500,0)),"")</f>
        <v/>
      </c>
      <c r="B288" t="str">
        <f>IFERROR(INDEX('Orders &amp; Payments'!$B$2:$B$500,MATCH($E288,'Orders &amp; Payments'!$J$2:$J$500,0)),"")</f>
        <v/>
      </c>
      <c r="C288" t="str">
        <f>IFERROR(INDEX('Orders &amp; Payments'!$I$2:$I$500,MATCH($E288,'Orders &amp; Payments'!$J$2:$J$500,0)),"")</f>
        <v/>
      </c>
      <c r="D288" t="str">
        <f>IFERROR(INDEX('Orders &amp; Payments'!$H$2:$H$500,MATCH($E288,'Orders &amp; Payments'!$J$2:$J$500,0)),"")</f>
        <v/>
      </c>
      <c r="E288" s="1"/>
      <c r="F288" s="1"/>
      <c r="G288" s="1"/>
      <c r="H288" s="1"/>
    </row>
    <row r="289" spans="1:8" x14ac:dyDescent="0.25">
      <c r="A289" t="str">
        <f>IFERROR(INDEX('Orders &amp; Payments'!$A$2:$A$500,MATCH($E289,'Orders &amp; Payments'!$J$2:$J$500,0)),"")</f>
        <v/>
      </c>
      <c r="B289" t="str">
        <f>IFERROR(INDEX('Orders &amp; Payments'!$B$2:$B$500,MATCH($E289,'Orders &amp; Payments'!$J$2:$J$500,0)),"")</f>
        <v/>
      </c>
      <c r="C289" t="str">
        <f>IFERROR(INDEX('Orders &amp; Payments'!$I$2:$I$500,MATCH($E289,'Orders &amp; Payments'!$J$2:$J$500,0)),"")</f>
        <v/>
      </c>
      <c r="D289" t="str">
        <f>IFERROR(INDEX('Orders &amp; Payments'!$H$2:$H$500,MATCH($E289,'Orders &amp; Payments'!$J$2:$J$500,0)),"")</f>
        <v/>
      </c>
      <c r="E289" s="1"/>
      <c r="F289" s="1"/>
      <c r="G289" s="1"/>
      <c r="H289" s="1"/>
    </row>
    <row r="290" spans="1:8" x14ac:dyDescent="0.25">
      <c r="A290" t="str">
        <f>IFERROR(INDEX('Orders &amp; Payments'!$A$2:$A$500,MATCH($E290,'Orders &amp; Payments'!$J$2:$J$500,0)),"")</f>
        <v/>
      </c>
      <c r="B290" t="str">
        <f>IFERROR(INDEX('Orders &amp; Payments'!$B$2:$B$500,MATCH($E290,'Orders &amp; Payments'!$J$2:$J$500,0)),"")</f>
        <v/>
      </c>
      <c r="C290" t="str">
        <f>IFERROR(INDEX('Orders &amp; Payments'!$I$2:$I$500,MATCH($E290,'Orders &amp; Payments'!$J$2:$J$500,0)),"")</f>
        <v/>
      </c>
      <c r="D290" t="str">
        <f>IFERROR(INDEX('Orders &amp; Payments'!$H$2:$H$500,MATCH($E290,'Orders &amp; Payments'!$J$2:$J$500,0)),"")</f>
        <v/>
      </c>
      <c r="E290" s="1"/>
      <c r="F290" s="1"/>
      <c r="G290" s="1"/>
      <c r="H290" s="1"/>
    </row>
    <row r="291" spans="1:8" x14ac:dyDescent="0.25">
      <c r="A291" t="str">
        <f>IFERROR(INDEX('Orders &amp; Payments'!$A$2:$A$500,MATCH($E291,'Orders &amp; Payments'!$J$2:$J$500,0)),"")</f>
        <v/>
      </c>
      <c r="B291" t="str">
        <f>IFERROR(INDEX('Orders &amp; Payments'!$B$2:$B$500,MATCH($E291,'Orders &amp; Payments'!$J$2:$J$500,0)),"")</f>
        <v/>
      </c>
      <c r="C291" t="str">
        <f>IFERROR(INDEX('Orders &amp; Payments'!$I$2:$I$500,MATCH($E291,'Orders &amp; Payments'!$J$2:$J$500,0)),"")</f>
        <v/>
      </c>
      <c r="D291" t="str">
        <f>IFERROR(INDEX('Orders &amp; Payments'!$H$2:$H$500,MATCH($E291,'Orders &amp; Payments'!$J$2:$J$500,0)),"")</f>
        <v/>
      </c>
      <c r="E291" s="1"/>
      <c r="F291" s="1"/>
      <c r="G291" s="1"/>
      <c r="H291" s="1"/>
    </row>
    <row r="292" spans="1:8" x14ac:dyDescent="0.25">
      <c r="A292" t="str">
        <f>IFERROR(INDEX('Orders &amp; Payments'!$A$2:$A$500,MATCH($E292,'Orders &amp; Payments'!$J$2:$J$500,0)),"")</f>
        <v/>
      </c>
      <c r="B292" t="str">
        <f>IFERROR(INDEX('Orders &amp; Payments'!$B$2:$B$500,MATCH($E292,'Orders &amp; Payments'!$J$2:$J$500,0)),"")</f>
        <v/>
      </c>
      <c r="C292" t="str">
        <f>IFERROR(INDEX('Orders &amp; Payments'!$I$2:$I$500,MATCH($E292,'Orders &amp; Payments'!$J$2:$J$500,0)),"")</f>
        <v/>
      </c>
      <c r="D292" t="str">
        <f>IFERROR(INDEX('Orders &amp; Payments'!$H$2:$H$500,MATCH($E292,'Orders &amp; Payments'!$J$2:$J$500,0)),"")</f>
        <v/>
      </c>
      <c r="E292" s="1"/>
      <c r="F292" s="1"/>
      <c r="G292" s="1"/>
      <c r="H292" s="1"/>
    </row>
    <row r="293" spans="1:8" x14ac:dyDescent="0.25">
      <c r="A293" t="str">
        <f>IFERROR(INDEX('Orders &amp; Payments'!$A$2:$A$500,MATCH($E293,'Orders &amp; Payments'!$J$2:$J$500,0)),"")</f>
        <v/>
      </c>
      <c r="B293" t="str">
        <f>IFERROR(INDEX('Orders &amp; Payments'!$B$2:$B$500,MATCH($E293,'Orders &amp; Payments'!$J$2:$J$500,0)),"")</f>
        <v/>
      </c>
      <c r="C293" t="str">
        <f>IFERROR(INDEX('Orders &amp; Payments'!$I$2:$I$500,MATCH($E293,'Orders &amp; Payments'!$J$2:$J$500,0)),"")</f>
        <v/>
      </c>
      <c r="D293" t="str">
        <f>IFERROR(INDEX('Orders &amp; Payments'!$H$2:$H$500,MATCH($E293,'Orders &amp; Payments'!$J$2:$J$500,0)),"")</f>
        <v/>
      </c>
      <c r="E293" s="1"/>
      <c r="F293" s="1"/>
      <c r="G293" s="1"/>
      <c r="H293" s="1"/>
    </row>
    <row r="294" spans="1:8" x14ac:dyDescent="0.25">
      <c r="A294" t="str">
        <f>IFERROR(INDEX('Orders &amp; Payments'!$A$2:$A$500,MATCH($E294,'Orders &amp; Payments'!$J$2:$J$500,0)),"")</f>
        <v/>
      </c>
      <c r="B294" t="str">
        <f>IFERROR(INDEX('Orders &amp; Payments'!$B$2:$B$500,MATCH($E294,'Orders &amp; Payments'!$J$2:$J$500,0)),"")</f>
        <v/>
      </c>
      <c r="C294" t="str">
        <f>IFERROR(INDEX('Orders &amp; Payments'!$I$2:$I$500,MATCH($E294,'Orders &amp; Payments'!$J$2:$J$500,0)),"")</f>
        <v/>
      </c>
      <c r="D294" t="str">
        <f>IFERROR(INDEX('Orders &amp; Payments'!$H$2:$H$500,MATCH($E294,'Orders &amp; Payments'!$J$2:$J$500,0)),"")</f>
        <v/>
      </c>
      <c r="E294" s="1"/>
      <c r="F294" s="1"/>
      <c r="G294" s="1"/>
      <c r="H294" s="1"/>
    </row>
    <row r="295" spans="1:8" x14ac:dyDescent="0.25">
      <c r="A295" t="str">
        <f>IFERROR(INDEX('Orders &amp; Payments'!$A$2:$A$500,MATCH($E295,'Orders &amp; Payments'!$J$2:$J$500,0)),"")</f>
        <v/>
      </c>
      <c r="B295" t="str">
        <f>IFERROR(INDEX('Orders &amp; Payments'!$B$2:$B$500,MATCH($E295,'Orders &amp; Payments'!$J$2:$J$500,0)),"")</f>
        <v/>
      </c>
      <c r="C295" t="str">
        <f>IFERROR(INDEX('Orders &amp; Payments'!$I$2:$I$500,MATCH($E295,'Orders &amp; Payments'!$J$2:$J$500,0)),"")</f>
        <v/>
      </c>
      <c r="D295" t="str">
        <f>IFERROR(INDEX('Orders &amp; Payments'!$H$2:$H$500,MATCH($E295,'Orders &amp; Payments'!$J$2:$J$500,0)),"")</f>
        <v/>
      </c>
      <c r="E295" s="1"/>
      <c r="F295" s="1"/>
      <c r="G295" s="1"/>
      <c r="H295" s="1"/>
    </row>
    <row r="296" spans="1:8" x14ac:dyDescent="0.25">
      <c r="A296" t="str">
        <f>IFERROR(INDEX('Orders &amp; Payments'!$A$2:$A$500,MATCH($E296,'Orders &amp; Payments'!$J$2:$J$500,0)),"")</f>
        <v/>
      </c>
      <c r="B296" t="str">
        <f>IFERROR(INDEX('Orders &amp; Payments'!$B$2:$B$500,MATCH($E296,'Orders &amp; Payments'!$J$2:$J$500,0)),"")</f>
        <v/>
      </c>
      <c r="C296" t="str">
        <f>IFERROR(INDEX('Orders &amp; Payments'!$I$2:$I$500,MATCH($E296,'Orders &amp; Payments'!$J$2:$J$500,0)),"")</f>
        <v/>
      </c>
      <c r="D296" t="str">
        <f>IFERROR(INDEX('Orders &amp; Payments'!$H$2:$H$500,MATCH($E296,'Orders &amp; Payments'!$J$2:$J$500,0)),"")</f>
        <v/>
      </c>
      <c r="E296" s="1"/>
      <c r="F296" s="1"/>
      <c r="G296" s="1"/>
      <c r="H296" s="1"/>
    </row>
    <row r="297" spans="1:8" x14ac:dyDescent="0.25">
      <c r="A297" t="str">
        <f>IFERROR(INDEX('Orders &amp; Payments'!$A$2:$A$500,MATCH($E297,'Orders &amp; Payments'!$J$2:$J$500,0)),"")</f>
        <v/>
      </c>
      <c r="B297" t="str">
        <f>IFERROR(INDEX('Orders &amp; Payments'!$B$2:$B$500,MATCH($E297,'Orders &amp; Payments'!$J$2:$J$500,0)),"")</f>
        <v/>
      </c>
      <c r="C297" t="str">
        <f>IFERROR(INDEX('Orders &amp; Payments'!$I$2:$I$500,MATCH($E297,'Orders &amp; Payments'!$J$2:$J$500,0)),"")</f>
        <v/>
      </c>
      <c r="D297" t="str">
        <f>IFERROR(INDEX('Orders &amp; Payments'!$H$2:$H$500,MATCH($E297,'Orders &amp; Payments'!$J$2:$J$500,0)),"")</f>
        <v/>
      </c>
      <c r="E297" s="1"/>
      <c r="F297" s="1"/>
      <c r="G297" s="1"/>
      <c r="H297" s="1"/>
    </row>
    <row r="298" spans="1:8" x14ac:dyDescent="0.25">
      <c r="A298" t="str">
        <f>IFERROR(INDEX('Orders &amp; Payments'!$A$2:$A$500,MATCH($E298,'Orders &amp; Payments'!$J$2:$J$500,0)),"")</f>
        <v/>
      </c>
      <c r="B298" t="str">
        <f>IFERROR(INDEX('Orders &amp; Payments'!$B$2:$B$500,MATCH($E298,'Orders &amp; Payments'!$J$2:$J$500,0)),"")</f>
        <v/>
      </c>
      <c r="C298" t="str">
        <f>IFERROR(INDEX('Orders &amp; Payments'!$I$2:$I$500,MATCH($E298,'Orders &amp; Payments'!$J$2:$J$500,0)),"")</f>
        <v/>
      </c>
      <c r="D298" t="str">
        <f>IFERROR(INDEX('Orders &amp; Payments'!$H$2:$H$500,MATCH($E298,'Orders &amp; Payments'!$J$2:$J$500,0)),"")</f>
        <v/>
      </c>
      <c r="E298" s="1"/>
      <c r="F298" s="1"/>
      <c r="G298" s="1"/>
      <c r="H298" s="1"/>
    </row>
    <row r="299" spans="1:8" x14ac:dyDescent="0.25">
      <c r="A299" t="str">
        <f>IFERROR(INDEX('Orders &amp; Payments'!$A$2:$A$500,MATCH($E299,'Orders &amp; Payments'!$J$2:$J$500,0)),"")</f>
        <v/>
      </c>
      <c r="B299" t="str">
        <f>IFERROR(INDEX('Orders &amp; Payments'!$B$2:$B$500,MATCH($E299,'Orders &amp; Payments'!$J$2:$J$500,0)),"")</f>
        <v/>
      </c>
      <c r="C299" t="str">
        <f>IFERROR(INDEX('Orders &amp; Payments'!$I$2:$I$500,MATCH($E299,'Orders &amp; Payments'!$J$2:$J$500,0)),"")</f>
        <v/>
      </c>
      <c r="D299" t="str">
        <f>IFERROR(INDEX('Orders &amp; Payments'!$H$2:$H$500,MATCH($E299,'Orders &amp; Payments'!$J$2:$J$500,0)),"")</f>
        <v/>
      </c>
      <c r="E299" s="1"/>
      <c r="F299" s="1"/>
      <c r="G299" s="1"/>
      <c r="H299" s="1"/>
    </row>
    <row r="300" spans="1:8" x14ac:dyDescent="0.25">
      <c r="A300" t="str">
        <f>IFERROR(INDEX('Orders &amp; Payments'!$A$2:$A$500,MATCH($E300,'Orders &amp; Payments'!$J$2:$J$500,0)),"")</f>
        <v/>
      </c>
      <c r="B300" t="str">
        <f>IFERROR(INDEX('Orders &amp; Payments'!$B$2:$B$500,MATCH($E300,'Orders &amp; Payments'!$J$2:$J$500,0)),"")</f>
        <v/>
      </c>
      <c r="C300" t="str">
        <f>IFERROR(INDEX('Orders &amp; Payments'!$I$2:$I$500,MATCH($E300,'Orders &amp; Payments'!$J$2:$J$500,0)),"")</f>
        <v/>
      </c>
      <c r="D300" t="str">
        <f>IFERROR(INDEX('Orders &amp; Payments'!$H$2:$H$500,MATCH($E300,'Orders &amp; Payments'!$J$2:$J$500,0)),"")</f>
        <v/>
      </c>
      <c r="E300" s="1"/>
      <c r="F300" s="1"/>
      <c r="G300" s="1"/>
      <c r="H300" s="1"/>
    </row>
    <row r="301" spans="1:8" x14ac:dyDescent="0.25">
      <c r="A301" t="str">
        <f>IFERROR(INDEX('Orders &amp; Payments'!$A$2:$A$500,MATCH($E301,'Orders &amp; Payments'!$J$2:$J$500,0)),"")</f>
        <v/>
      </c>
      <c r="B301" t="str">
        <f>IFERROR(INDEX('Orders &amp; Payments'!$B$2:$B$500,MATCH($E301,'Orders &amp; Payments'!$J$2:$J$500,0)),"")</f>
        <v/>
      </c>
      <c r="C301" t="str">
        <f>IFERROR(INDEX('Orders &amp; Payments'!$I$2:$I$500,MATCH($E301,'Orders &amp; Payments'!$J$2:$J$500,0)),"")</f>
        <v/>
      </c>
      <c r="D301" t="str">
        <f>IFERROR(INDEX('Orders &amp; Payments'!$H$2:$H$500,MATCH($E301,'Orders &amp; Payments'!$J$2:$J$500,0)),"")</f>
        <v/>
      </c>
      <c r="E301" s="1"/>
      <c r="F301" s="1"/>
      <c r="G301" s="1"/>
      <c r="H301" s="1"/>
    </row>
    <row r="302" spans="1:8" x14ac:dyDescent="0.25">
      <c r="A302" t="str">
        <f>IFERROR(INDEX('Orders &amp; Payments'!$A$2:$A$500,MATCH($E302,'Orders &amp; Payments'!$J$2:$J$500,0)),"")</f>
        <v/>
      </c>
      <c r="B302" t="str">
        <f>IFERROR(INDEX('Orders &amp; Payments'!$B$2:$B$500,MATCH($E302,'Orders &amp; Payments'!$J$2:$J$500,0)),"")</f>
        <v/>
      </c>
      <c r="C302" t="str">
        <f>IFERROR(INDEX('Orders &amp; Payments'!$I$2:$I$500,MATCH($E302,'Orders &amp; Payments'!$J$2:$J$500,0)),"")</f>
        <v/>
      </c>
      <c r="D302" t="str">
        <f>IFERROR(INDEX('Orders &amp; Payments'!$H$2:$H$500,MATCH($E302,'Orders &amp; Payments'!$J$2:$J$500,0)),"")</f>
        <v/>
      </c>
      <c r="E302" s="1"/>
      <c r="F302" s="1"/>
      <c r="G302" s="1"/>
      <c r="H302" s="1"/>
    </row>
    <row r="303" spans="1:8" x14ac:dyDescent="0.25">
      <c r="A303" t="str">
        <f>IFERROR(INDEX('Orders &amp; Payments'!$A$2:$A$500,MATCH($E303,'Orders &amp; Payments'!$J$2:$J$500,0)),"")</f>
        <v/>
      </c>
      <c r="B303" t="str">
        <f>IFERROR(INDEX('Orders &amp; Payments'!$B$2:$B$500,MATCH($E303,'Orders &amp; Payments'!$J$2:$J$500,0)),"")</f>
        <v/>
      </c>
      <c r="C303" t="str">
        <f>IFERROR(INDEX('Orders &amp; Payments'!$I$2:$I$500,MATCH($E303,'Orders &amp; Payments'!$J$2:$J$500,0)),"")</f>
        <v/>
      </c>
      <c r="D303" t="str">
        <f>IFERROR(INDEX('Orders &amp; Payments'!$H$2:$H$500,MATCH($E303,'Orders &amp; Payments'!$J$2:$J$500,0)),"")</f>
        <v/>
      </c>
      <c r="E303" s="1"/>
      <c r="F303" s="1"/>
      <c r="G303" s="1"/>
      <c r="H303" s="1"/>
    </row>
    <row r="304" spans="1:8" x14ac:dyDescent="0.25">
      <c r="A304" t="str">
        <f>IFERROR(INDEX('Orders &amp; Payments'!$A$2:$A$500,MATCH($E304,'Orders &amp; Payments'!$J$2:$J$500,0)),"")</f>
        <v/>
      </c>
      <c r="B304" t="str">
        <f>IFERROR(INDEX('Orders &amp; Payments'!$B$2:$B$500,MATCH($E304,'Orders &amp; Payments'!$J$2:$J$500,0)),"")</f>
        <v/>
      </c>
      <c r="C304" t="str">
        <f>IFERROR(INDEX('Orders &amp; Payments'!$I$2:$I$500,MATCH($E304,'Orders &amp; Payments'!$J$2:$J$500,0)),"")</f>
        <v/>
      </c>
      <c r="D304" t="str">
        <f>IFERROR(INDEX('Orders &amp; Payments'!$H$2:$H$500,MATCH($E304,'Orders &amp; Payments'!$J$2:$J$500,0)),"")</f>
        <v/>
      </c>
      <c r="E304" s="1"/>
      <c r="F304" s="1"/>
      <c r="G304" s="1"/>
      <c r="H304" s="1"/>
    </row>
    <row r="305" spans="1:8" x14ac:dyDescent="0.25">
      <c r="A305" t="str">
        <f>IFERROR(INDEX('Orders &amp; Payments'!$A$2:$A$500,MATCH($E305,'Orders &amp; Payments'!$J$2:$J$500,0)),"")</f>
        <v/>
      </c>
      <c r="B305" t="str">
        <f>IFERROR(INDEX('Orders &amp; Payments'!$B$2:$B$500,MATCH($E305,'Orders &amp; Payments'!$J$2:$J$500,0)),"")</f>
        <v/>
      </c>
      <c r="C305" t="str">
        <f>IFERROR(INDEX('Orders &amp; Payments'!$I$2:$I$500,MATCH($E305,'Orders &amp; Payments'!$J$2:$J$500,0)),"")</f>
        <v/>
      </c>
      <c r="D305" t="str">
        <f>IFERROR(INDEX('Orders &amp; Payments'!$H$2:$H$500,MATCH($E305,'Orders &amp; Payments'!$J$2:$J$500,0)),"")</f>
        <v/>
      </c>
      <c r="E305" s="1"/>
      <c r="F305" s="1"/>
      <c r="G305" s="1"/>
      <c r="H305" s="1"/>
    </row>
    <row r="306" spans="1:8" x14ac:dyDescent="0.25">
      <c r="A306" t="str">
        <f>IFERROR(INDEX('Orders &amp; Payments'!$A$2:$A$500,MATCH($E306,'Orders &amp; Payments'!$J$2:$J$500,0)),"")</f>
        <v/>
      </c>
      <c r="B306" t="str">
        <f>IFERROR(INDEX('Orders &amp; Payments'!$B$2:$B$500,MATCH($E306,'Orders &amp; Payments'!$J$2:$J$500,0)),"")</f>
        <v/>
      </c>
      <c r="C306" t="str">
        <f>IFERROR(INDEX('Orders &amp; Payments'!$I$2:$I$500,MATCH($E306,'Orders &amp; Payments'!$J$2:$J$500,0)),"")</f>
        <v/>
      </c>
      <c r="D306" t="str">
        <f>IFERROR(INDEX('Orders &amp; Payments'!$H$2:$H$500,MATCH($E306,'Orders &amp; Payments'!$J$2:$J$500,0)),"")</f>
        <v/>
      </c>
      <c r="E306" s="1"/>
      <c r="F306" s="1"/>
      <c r="G306" s="1"/>
      <c r="H306" s="1"/>
    </row>
    <row r="307" spans="1:8" x14ac:dyDescent="0.25">
      <c r="A307" t="str">
        <f>IFERROR(INDEX('Orders &amp; Payments'!$A$2:$A$500,MATCH($E307,'Orders &amp; Payments'!$J$2:$J$500,0)),"")</f>
        <v/>
      </c>
      <c r="B307" t="str">
        <f>IFERROR(INDEX('Orders &amp; Payments'!$B$2:$B$500,MATCH($E307,'Orders &amp; Payments'!$J$2:$J$500,0)),"")</f>
        <v/>
      </c>
      <c r="C307" t="str">
        <f>IFERROR(INDEX('Orders &amp; Payments'!$I$2:$I$500,MATCH($E307,'Orders &amp; Payments'!$J$2:$J$500,0)),"")</f>
        <v/>
      </c>
      <c r="D307" t="str">
        <f>IFERROR(INDEX('Orders &amp; Payments'!$H$2:$H$500,MATCH($E307,'Orders &amp; Payments'!$J$2:$J$500,0)),"")</f>
        <v/>
      </c>
      <c r="E307" s="1"/>
      <c r="F307" s="1"/>
      <c r="G307" s="1"/>
      <c r="H307" s="1"/>
    </row>
    <row r="308" spans="1:8" x14ac:dyDescent="0.25">
      <c r="A308" t="str">
        <f>IFERROR(INDEX('Orders &amp; Payments'!$A$2:$A$500,MATCH($E308,'Orders &amp; Payments'!$J$2:$J$500,0)),"")</f>
        <v/>
      </c>
      <c r="B308" t="str">
        <f>IFERROR(INDEX('Orders &amp; Payments'!$B$2:$B$500,MATCH($E308,'Orders &amp; Payments'!$J$2:$J$500,0)),"")</f>
        <v/>
      </c>
      <c r="C308" t="str">
        <f>IFERROR(INDEX('Orders &amp; Payments'!$I$2:$I$500,MATCH($E308,'Orders &amp; Payments'!$J$2:$J$500,0)),"")</f>
        <v/>
      </c>
      <c r="D308" t="str">
        <f>IFERROR(INDEX('Orders &amp; Payments'!$H$2:$H$500,MATCH($E308,'Orders &amp; Payments'!$J$2:$J$500,0)),"")</f>
        <v/>
      </c>
      <c r="E308" s="1"/>
      <c r="F308" s="1"/>
      <c r="G308" s="1"/>
      <c r="H308" s="1"/>
    </row>
    <row r="309" spans="1:8" x14ac:dyDescent="0.25">
      <c r="A309" t="str">
        <f>IFERROR(INDEX('Orders &amp; Payments'!$A$2:$A$500,MATCH($E309,'Orders &amp; Payments'!$J$2:$J$500,0)),"")</f>
        <v/>
      </c>
      <c r="B309" t="str">
        <f>IFERROR(INDEX('Orders &amp; Payments'!$B$2:$B$500,MATCH($E309,'Orders &amp; Payments'!$J$2:$J$500,0)),"")</f>
        <v/>
      </c>
      <c r="C309" t="str">
        <f>IFERROR(INDEX('Orders &amp; Payments'!$I$2:$I$500,MATCH($E309,'Orders &amp; Payments'!$J$2:$J$500,0)),"")</f>
        <v/>
      </c>
      <c r="D309" t="str">
        <f>IFERROR(INDEX('Orders &amp; Payments'!$H$2:$H$500,MATCH($E309,'Orders &amp; Payments'!$J$2:$J$500,0)),"")</f>
        <v/>
      </c>
      <c r="E309" s="1"/>
      <c r="F309" s="1"/>
      <c r="G309" s="1"/>
      <c r="H309" s="1"/>
    </row>
    <row r="310" spans="1:8" x14ac:dyDescent="0.25">
      <c r="A310" t="str">
        <f>IFERROR(INDEX('Orders &amp; Payments'!$A$2:$A$500,MATCH($E310,'Orders &amp; Payments'!$J$2:$J$500,0)),"")</f>
        <v/>
      </c>
      <c r="B310" t="str">
        <f>IFERROR(INDEX('Orders &amp; Payments'!$B$2:$B$500,MATCH($E310,'Orders &amp; Payments'!$J$2:$J$500,0)),"")</f>
        <v/>
      </c>
      <c r="C310" t="str">
        <f>IFERROR(INDEX('Orders &amp; Payments'!$I$2:$I$500,MATCH($E310,'Orders &amp; Payments'!$J$2:$J$500,0)),"")</f>
        <v/>
      </c>
      <c r="D310" t="str">
        <f>IFERROR(INDEX('Orders &amp; Payments'!$H$2:$H$500,MATCH($E310,'Orders &amp; Payments'!$J$2:$J$500,0)),"")</f>
        <v/>
      </c>
      <c r="E310" s="1"/>
      <c r="F310" s="1"/>
      <c r="G310" s="1"/>
      <c r="H310" s="1"/>
    </row>
    <row r="311" spans="1:8" x14ac:dyDescent="0.25">
      <c r="A311" t="str">
        <f>IFERROR(INDEX('Orders &amp; Payments'!$A$2:$A$500,MATCH($E311,'Orders &amp; Payments'!$J$2:$J$500,0)),"")</f>
        <v/>
      </c>
      <c r="B311" t="str">
        <f>IFERROR(INDEX('Orders &amp; Payments'!$B$2:$B$500,MATCH($E311,'Orders &amp; Payments'!$J$2:$J$500,0)),"")</f>
        <v/>
      </c>
      <c r="C311" t="str">
        <f>IFERROR(INDEX('Orders &amp; Payments'!$I$2:$I$500,MATCH($E311,'Orders &amp; Payments'!$J$2:$J$500,0)),"")</f>
        <v/>
      </c>
      <c r="D311" t="str">
        <f>IFERROR(INDEX('Orders &amp; Payments'!$H$2:$H$500,MATCH($E311,'Orders &amp; Payments'!$J$2:$J$500,0)),"")</f>
        <v/>
      </c>
      <c r="E311" s="1"/>
      <c r="F311" s="1"/>
      <c r="G311" s="1"/>
      <c r="H311" s="1"/>
    </row>
    <row r="312" spans="1:8" x14ac:dyDescent="0.25">
      <c r="A312" t="str">
        <f>IFERROR(INDEX('Orders &amp; Payments'!$A$2:$A$500,MATCH($E312,'Orders &amp; Payments'!$J$2:$J$500,0)),"")</f>
        <v/>
      </c>
      <c r="B312" t="str">
        <f>IFERROR(INDEX('Orders &amp; Payments'!$B$2:$B$500,MATCH($E312,'Orders &amp; Payments'!$J$2:$J$500,0)),"")</f>
        <v/>
      </c>
      <c r="C312" t="str">
        <f>IFERROR(INDEX('Orders &amp; Payments'!$I$2:$I$500,MATCH($E312,'Orders &amp; Payments'!$J$2:$J$500,0)),"")</f>
        <v/>
      </c>
      <c r="D312" t="str">
        <f>IFERROR(INDEX('Orders &amp; Payments'!$H$2:$H$500,MATCH($E312,'Orders &amp; Payments'!$J$2:$J$500,0)),"")</f>
        <v/>
      </c>
      <c r="E312" s="1"/>
      <c r="F312" s="1"/>
      <c r="G312" s="1"/>
      <c r="H312" s="1"/>
    </row>
    <row r="313" spans="1:8" x14ac:dyDescent="0.25">
      <c r="A313" t="str">
        <f>IFERROR(INDEX('Orders &amp; Payments'!$A$2:$A$500,MATCH($E313,'Orders &amp; Payments'!$J$2:$J$500,0)),"")</f>
        <v/>
      </c>
      <c r="B313" t="str">
        <f>IFERROR(INDEX('Orders &amp; Payments'!$B$2:$B$500,MATCH($E313,'Orders &amp; Payments'!$J$2:$J$500,0)),"")</f>
        <v/>
      </c>
      <c r="C313" t="str">
        <f>IFERROR(INDEX('Orders &amp; Payments'!$I$2:$I$500,MATCH($E313,'Orders &amp; Payments'!$J$2:$J$500,0)),"")</f>
        <v/>
      </c>
      <c r="D313" t="str">
        <f>IFERROR(INDEX('Orders &amp; Payments'!$H$2:$H$500,MATCH($E313,'Orders &amp; Payments'!$J$2:$J$500,0)),"")</f>
        <v/>
      </c>
      <c r="E313" s="1"/>
      <c r="F313" s="1"/>
      <c r="G313" s="1"/>
      <c r="H313" s="1"/>
    </row>
    <row r="314" spans="1:8" x14ac:dyDescent="0.25">
      <c r="A314" t="str">
        <f>IFERROR(INDEX('Orders &amp; Payments'!$A$2:$A$500,MATCH($E314,'Orders &amp; Payments'!$J$2:$J$500,0)),"")</f>
        <v/>
      </c>
      <c r="B314" t="str">
        <f>IFERROR(INDEX('Orders &amp; Payments'!$B$2:$B$500,MATCH($E314,'Orders &amp; Payments'!$J$2:$J$500,0)),"")</f>
        <v/>
      </c>
      <c r="C314" t="str">
        <f>IFERROR(INDEX('Orders &amp; Payments'!$I$2:$I$500,MATCH($E314,'Orders &amp; Payments'!$J$2:$J$500,0)),"")</f>
        <v/>
      </c>
      <c r="D314" t="str">
        <f>IFERROR(INDEX('Orders &amp; Payments'!$H$2:$H$500,MATCH($E314,'Orders &amp; Payments'!$J$2:$J$500,0)),"")</f>
        <v/>
      </c>
      <c r="E314" s="1"/>
      <c r="F314" s="1"/>
      <c r="G314" s="1"/>
      <c r="H314" s="1"/>
    </row>
    <row r="315" spans="1:8" x14ac:dyDescent="0.25">
      <c r="A315" t="str">
        <f>IFERROR(INDEX('Orders &amp; Payments'!$A$2:$A$500,MATCH($E315,'Orders &amp; Payments'!$J$2:$J$500,0)),"")</f>
        <v/>
      </c>
      <c r="B315" t="str">
        <f>IFERROR(INDEX('Orders &amp; Payments'!$B$2:$B$500,MATCH($E315,'Orders &amp; Payments'!$J$2:$J$500,0)),"")</f>
        <v/>
      </c>
      <c r="C315" t="str">
        <f>IFERROR(INDEX('Orders &amp; Payments'!$I$2:$I$500,MATCH($E315,'Orders &amp; Payments'!$J$2:$J$500,0)),"")</f>
        <v/>
      </c>
      <c r="D315" t="str">
        <f>IFERROR(INDEX('Orders &amp; Payments'!$H$2:$H$500,MATCH($E315,'Orders &amp; Payments'!$J$2:$J$500,0)),"")</f>
        <v/>
      </c>
      <c r="E315" s="1"/>
      <c r="F315" s="1"/>
      <c r="G315" s="1"/>
      <c r="H315" s="1"/>
    </row>
    <row r="316" spans="1:8" x14ac:dyDescent="0.25">
      <c r="A316" t="str">
        <f>IFERROR(INDEX('Orders &amp; Payments'!$A$2:$A$500,MATCH($E316,'Orders &amp; Payments'!$J$2:$J$500,0)),"")</f>
        <v/>
      </c>
      <c r="B316" t="str">
        <f>IFERROR(INDEX('Orders &amp; Payments'!$B$2:$B$500,MATCH($E316,'Orders &amp; Payments'!$J$2:$J$500,0)),"")</f>
        <v/>
      </c>
      <c r="C316" t="str">
        <f>IFERROR(INDEX('Orders &amp; Payments'!$I$2:$I$500,MATCH($E316,'Orders &amp; Payments'!$J$2:$J$500,0)),"")</f>
        <v/>
      </c>
      <c r="D316" t="str">
        <f>IFERROR(INDEX('Orders &amp; Payments'!$H$2:$H$500,MATCH($E316,'Orders &amp; Payments'!$J$2:$J$500,0)),"")</f>
        <v/>
      </c>
      <c r="E316" s="1"/>
      <c r="F316" s="1"/>
      <c r="G316" s="1"/>
      <c r="H316" s="1"/>
    </row>
    <row r="317" spans="1:8" x14ac:dyDescent="0.25">
      <c r="A317" t="str">
        <f>IFERROR(INDEX('Orders &amp; Payments'!$A$2:$A$500,MATCH($E317,'Orders &amp; Payments'!$J$2:$J$500,0)),"")</f>
        <v/>
      </c>
      <c r="B317" t="str">
        <f>IFERROR(INDEX('Orders &amp; Payments'!$B$2:$B$500,MATCH($E317,'Orders &amp; Payments'!$J$2:$J$500,0)),"")</f>
        <v/>
      </c>
      <c r="C317" t="str">
        <f>IFERROR(INDEX('Orders &amp; Payments'!$I$2:$I$500,MATCH($E317,'Orders &amp; Payments'!$J$2:$J$500,0)),"")</f>
        <v/>
      </c>
      <c r="D317" t="str">
        <f>IFERROR(INDEX('Orders &amp; Payments'!$H$2:$H$500,MATCH($E317,'Orders &amp; Payments'!$J$2:$J$500,0)),"")</f>
        <v/>
      </c>
      <c r="E317" s="1"/>
      <c r="F317" s="1"/>
      <c r="G317" s="1"/>
      <c r="H317" s="1"/>
    </row>
    <row r="318" spans="1:8" x14ac:dyDescent="0.25">
      <c r="A318" t="str">
        <f>IFERROR(INDEX('Orders &amp; Payments'!$A$2:$A$500,MATCH($E318,'Orders &amp; Payments'!$J$2:$J$500,0)),"")</f>
        <v/>
      </c>
      <c r="B318" t="str">
        <f>IFERROR(INDEX('Orders &amp; Payments'!$B$2:$B$500,MATCH($E318,'Orders &amp; Payments'!$J$2:$J$500,0)),"")</f>
        <v/>
      </c>
      <c r="C318" t="str">
        <f>IFERROR(INDEX('Orders &amp; Payments'!$I$2:$I$500,MATCH($E318,'Orders &amp; Payments'!$J$2:$J$500,0)),"")</f>
        <v/>
      </c>
      <c r="D318" t="str">
        <f>IFERROR(INDEX('Orders &amp; Payments'!$H$2:$H$500,MATCH($E318,'Orders &amp; Payments'!$J$2:$J$500,0)),"")</f>
        <v/>
      </c>
      <c r="E318" s="1"/>
      <c r="F318" s="1"/>
      <c r="G318" s="1"/>
      <c r="H318" s="1"/>
    </row>
    <row r="319" spans="1:8" x14ac:dyDescent="0.25">
      <c r="A319" t="str">
        <f>IFERROR(INDEX('Orders &amp; Payments'!$A$2:$A$500,MATCH($E319,'Orders &amp; Payments'!$J$2:$J$500,0)),"")</f>
        <v/>
      </c>
      <c r="B319" t="str">
        <f>IFERROR(INDEX('Orders &amp; Payments'!$B$2:$B$500,MATCH($E319,'Orders &amp; Payments'!$J$2:$J$500,0)),"")</f>
        <v/>
      </c>
      <c r="C319" t="str">
        <f>IFERROR(INDEX('Orders &amp; Payments'!$I$2:$I$500,MATCH($E319,'Orders &amp; Payments'!$J$2:$J$500,0)),"")</f>
        <v/>
      </c>
      <c r="D319" t="str">
        <f>IFERROR(INDEX('Orders &amp; Payments'!$H$2:$H$500,MATCH($E319,'Orders &amp; Payments'!$J$2:$J$500,0)),"")</f>
        <v/>
      </c>
      <c r="E319" s="1"/>
      <c r="F319" s="1"/>
      <c r="G319" s="1"/>
      <c r="H319" s="1"/>
    </row>
    <row r="320" spans="1:8" x14ac:dyDescent="0.25">
      <c r="A320" t="str">
        <f>IFERROR(INDEX('Orders &amp; Payments'!$A$2:$A$500,MATCH($E320,'Orders &amp; Payments'!$J$2:$J$500,0)),"")</f>
        <v/>
      </c>
      <c r="B320" t="str">
        <f>IFERROR(INDEX('Orders &amp; Payments'!$B$2:$B$500,MATCH($E320,'Orders &amp; Payments'!$J$2:$J$500,0)),"")</f>
        <v/>
      </c>
      <c r="C320" t="str">
        <f>IFERROR(INDEX('Orders &amp; Payments'!$I$2:$I$500,MATCH($E320,'Orders &amp; Payments'!$J$2:$J$500,0)),"")</f>
        <v/>
      </c>
      <c r="D320" t="str">
        <f>IFERROR(INDEX('Orders &amp; Payments'!$H$2:$H$500,MATCH($E320,'Orders &amp; Payments'!$J$2:$J$500,0)),"")</f>
        <v/>
      </c>
      <c r="E320" s="1"/>
      <c r="F320" s="1"/>
      <c r="G320" s="1"/>
      <c r="H320" s="1"/>
    </row>
    <row r="321" spans="1:8" x14ac:dyDescent="0.25">
      <c r="A321" t="str">
        <f>IFERROR(INDEX('Orders &amp; Payments'!$A$2:$A$500,MATCH($E321,'Orders &amp; Payments'!$J$2:$J$500,0)),"")</f>
        <v/>
      </c>
      <c r="B321" t="str">
        <f>IFERROR(INDEX('Orders &amp; Payments'!$B$2:$B$500,MATCH($E321,'Orders &amp; Payments'!$J$2:$J$500,0)),"")</f>
        <v/>
      </c>
      <c r="C321" t="str">
        <f>IFERROR(INDEX('Orders &amp; Payments'!$I$2:$I$500,MATCH($E321,'Orders &amp; Payments'!$J$2:$J$500,0)),"")</f>
        <v/>
      </c>
      <c r="D321" t="str">
        <f>IFERROR(INDEX('Orders &amp; Payments'!$H$2:$H$500,MATCH($E321,'Orders &amp; Payments'!$J$2:$J$500,0)),"")</f>
        <v/>
      </c>
      <c r="E321" s="1"/>
      <c r="F321" s="1"/>
      <c r="G321" s="1"/>
      <c r="H321" s="1"/>
    </row>
    <row r="322" spans="1:8" x14ac:dyDescent="0.25">
      <c r="A322" t="str">
        <f>IFERROR(INDEX('Orders &amp; Payments'!$A$2:$A$500,MATCH($E322,'Orders &amp; Payments'!$J$2:$J$500,0)),"")</f>
        <v/>
      </c>
      <c r="B322" t="str">
        <f>IFERROR(INDEX('Orders &amp; Payments'!$B$2:$B$500,MATCH($E322,'Orders &amp; Payments'!$J$2:$J$500,0)),"")</f>
        <v/>
      </c>
      <c r="C322" t="str">
        <f>IFERROR(INDEX('Orders &amp; Payments'!$I$2:$I$500,MATCH($E322,'Orders &amp; Payments'!$J$2:$J$500,0)),"")</f>
        <v/>
      </c>
      <c r="D322" t="str">
        <f>IFERROR(INDEX('Orders &amp; Payments'!$H$2:$H$500,MATCH($E322,'Orders &amp; Payments'!$J$2:$J$500,0)),"")</f>
        <v/>
      </c>
      <c r="E322" s="1"/>
      <c r="F322" s="1"/>
      <c r="G322" s="1"/>
      <c r="H322" s="1"/>
    </row>
    <row r="323" spans="1:8" x14ac:dyDescent="0.25">
      <c r="A323" t="str">
        <f>IFERROR(INDEX('Orders &amp; Payments'!$A$2:$A$500,MATCH($E323,'Orders &amp; Payments'!$J$2:$J$500,0)),"")</f>
        <v/>
      </c>
      <c r="B323" t="str">
        <f>IFERROR(INDEX('Orders &amp; Payments'!$B$2:$B$500,MATCH($E323,'Orders &amp; Payments'!$J$2:$J$500,0)),"")</f>
        <v/>
      </c>
      <c r="C323" t="str">
        <f>IFERROR(INDEX('Orders &amp; Payments'!$I$2:$I$500,MATCH($E323,'Orders &amp; Payments'!$J$2:$J$500,0)),"")</f>
        <v/>
      </c>
      <c r="D323" t="str">
        <f>IFERROR(INDEX('Orders &amp; Payments'!$H$2:$H$500,MATCH($E323,'Orders &amp; Payments'!$J$2:$J$500,0)),"")</f>
        <v/>
      </c>
      <c r="E323" s="1"/>
      <c r="F323" s="1"/>
      <c r="G323" s="1"/>
      <c r="H323" s="1"/>
    </row>
    <row r="324" spans="1:8" x14ac:dyDescent="0.25">
      <c r="A324" t="str">
        <f>IFERROR(INDEX('Orders &amp; Payments'!$A$2:$A$500,MATCH($E324,'Orders &amp; Payments'!$J$2:$J$500,0)),"")</f>
        <v/>
      </c>
      <c r="B324" t="str">
        <f>IFERROR(INDEX('Orders &amp; Payments'!$B$2:$B$500,MATCH($E324,'Orders &amp; Payments'!$J$2:$J$500,0)),"")</f>
        <v/>
      </c>
      <c r="C324" t="str">
        <f>IFERROR(INDEX('Orders &amp; Payments'!$I$2:$I$500,MATCH($E324,'Orders &amp; Payments'!$J$2:$J$500,0)),"")</f>
        <v/>
      </c>
      <c r="D324" t="str">
        <f>IFERROR(INDEX('Orders &amp; Payments'!$H$2:$H$500,MATCH($E324,'Orders &amp; Payments'!$J$2:$J$500,0)),"")</f>
        <v/>
      </c>
      <c r="E324" s="1"/>
      <c r="F324" s="1"/>
      <c r="G324" s="1"/>
      <c r="H324" s="1"/>
    </row>
    <row r="325" spans="1:8" x14ac:dyDescent="0.25">
      <c r="A325" t="str">
        <f>IFERROR(INDEX('Orders &amp; Payments'!$A$2:$A$500,MATCH($E325,'Orders &amp; Payments'!$J$2:$J$500,0)),"")</f>
        <v/>
      </c>
      <c r="B325" t="str">
        <f>IFERROR(INDEX('Orders &amp; Payments'!$B$2:$B$500,MATCH($E325,'Orders &amp; Payments'!$J$2:$J$500,0)),"")</f>
        <v/>
      </c>
      <c r="C325" t="str">
        <f>IFERROR(INDEX('Orders &amp; Payments'!$I$2:$I$500,MATCH($E325,'Orders &amp; Payments'!$J$2:$J$500,0)),"")</f>
        <v/>
      </c>
      <c r="D325" t="str">
        <f>IFERROR(INDEX('Orders &amp; Payments'!$H$2:$H$500,MATCH($E325,'Orders &amp; Payments'!$J$2:$J$500,0)),"")</f>
        <v/>
      </c>
      <c r="E325" s="1"/>
      <c r="F325" s="1"/>
      <c r="G325" s="1"/>
      <c r="H325" s="1"/>
    </row>
    <row r="326" spans="1:8" x14ac:dyDescent="0.25">
      <c r="A326" t="str">
        <f>IFERROR(INDEX('Orders &amp; Payments'!$A$2:$A$500,MATCH($E326,'Orders &amp; Payments'!$J$2:$J$500,0)),"")</f>
        <v/>
      </c>
      <c r="B326" t="str">
        <f>IFERROR(INDEX('Orders &amp; Payments'!$B$2:$B$500,MATCH($E326,'Orders &amp; Payments'!$J$2:$J$500,0)),"")</f>
        <v/>
      </c>
      <c r="C326" t="str">
        <f>IFERROR(INDEX('Orders &amp; Payments'!$I$2:$I$500,MATCH($E326,'Orders &amp; Payments'!$J$2:$J$500,0)),"")</f>
        <v/>
      </c>
      <c r="D326" t="str">
        <f>IFERROR(INDEX('Orders &amp; Payments'!$H$2:$H$500,MATCH($E326,'Orders &amp; Payments'!$J$2:$J$500,0)),"")</f>
        <v/>
      </c>
      <c r="E326" s="1"/>
      <c r="F326" s="1"/>
      <c r="G326" s="1"/>
      <c r="H326" s="1"/>
    </row>
    <row r="327" spans="1:8" x14ac:dyDescent="0.25">
      <c r="A327" t="str">
        <f>IFERROR(INDEX('Orders &amp; Payments'!$A$2:$A$500,MATCH($E327,'Orders &amp; Payments'!$J$2:$J$500,0)),"")</f>
        <v/>
      </c>
      <c r="B327" t="str">
        <f>IFERROR(INDEX('Orders &amp; Payments'!$B$2:$B$500,MATCH($E327,'Orders &amp; Payments'!$J$2:$J$500,0)),"")</f>
        <v/>
      </c>
      <c r="C327" t="str">
        <f>IFERROR(INDEX('Orders &amp; Payments'!$I$2:$I$500,MATCH($E327,'Orders &amp; Payments'!$J$2:$J$500,0)),"")</f>
        <v/>
      </c>
      <c r="D327" t="str">
        <f>IFERROR(INDEX('Orders &amp; Payments'!$H$2:$H$500,MATCH($E327,'Orders &amp; Payments'!$J$2:$J$500,0)),"")</f>
        <v/>
      </c>
      <c r="E327" s="1"/>
      <c r="F327" s="1"/>
      <c r="G327" s="1"/>
      <c r="H327" s="1"/>
    </row>
    <row r="328" spans="1:8" x14ac:dyDescent="0.25">
      <c r="A328" t="str">
        <f>IFERROR(INDEX('Orders &amp; Payments'!$A$2:$A$500,MATCH($E328,'Orders &amp; Payments'!$J$2:$J$500,0)),"")</f>
        <v/>
      </c>
      <c r="B328" t="str">
        <f>IFERROR(INDEX('Orders &amp; Payments'!$B$2:$B$500,MATCH($E328,'Orders &amp; Payments'!$J$2:$J$500,0)),"")</f>
        <v/>
      </c>
      <c r="C328" t="str">
        <f>IFERROR(INDEX('Orders &amp; Payments'!$I$2:$I$500,MATCH($E328,'Orders &amp; Payments'!$J$2:$J$500,0)),"")</f>
        <v/>
      </c>
      <c r="D328" t="str">
        <f>IFERROR(INDEX('Orders &amp; Payments'!$H$2:$H$500,MATCH($E328,'Orders &amp; Payments'!$J$2:$J$500,0)),"")</f>
        <v/>
      </c>
      <c r="E328" s="1"/>
      <c r="F328" s="1"/>
      <c r="G328" s="1"/>
      <c r="H328" s="1"/>
    </row>
    <row r="329" spans="1:8" x14ac:dyDescent="0.25">
      <c r="A329" t="str">
        <f>IFERROR(INDEX('Orders &amp; Payments'!$A$2:$A$500,MATCH($E329,'Orders &amp; Payments'!$J$2:$J$500,0)),"")</f>
        <v/>
      </c>
      <c r="B329" t="str">
        <f>IFERROR(INDEX('Orders &amp; Payments'!$B$2:$B$500,MATCH($E329,'Orders &amp; Payments'!$J$2:$J$500,0)),"")</f>
        <v/>
      </c>
      <c r="C329" t="str">
        <f>IFERROR(INDEX('Orders &amp; Payments'!$I$2:$I$500,MATCH($E329,'Orders &amp; Payments'!$J$2:$J$500,0)),"")</f>
        <v/>
      </c>
      <c r="D329" t="str">
        <f>IFERROR(INDEX('Orders &amp; Payments'!$H$2:$H$500,MATCH($E329,'Orders &amp; Payments'!$J$2:$J$500,0)),"")</f>
        <v/>
      </c>
      <c r="E329" s="1"/>
      <c r="F329" s="1"/>
      <c r="G329" s="1"/>
      <c r="H329" s="1"/>
    </row>
    <row r="330" spans="1:8" x14ac:dyDescent="0.25">
      <c r="A330" t="str">
        <f>IFERROR(INDEX('Orders &amp; Payments'!$A$2:$A$500,MATCH($E330,'Orders &amp; Payments'!$J$2:$J$500,0)),"")</f>
        <v/>
      </c>
      <c r="B330" t="str">
        <f>IFERROR(INDEX('Orders &amp; Payments'!$B$2:$B$500,MATCH($E330,'Orders &amp; Payments'!$J$2:$J$500,0)),"")</f>
        <v/>
      </c>
      <c r="C330" t="str">
        <f>IFERROR(INDEX('Orders &amp; Payments'!$I$2:$I$500,MATCH($E330,'Orders &amp; Payments'!$J$2:$J$500,0)),"")</f>
        <v/>
      </c>
      <c r="D330" t="str">
        <f>IFERROR(INDEX('Orders &amp; Payments'!$H$2:$H$500,MATCH($E330,'Orders &amp; Payments'!$J$2:$J$500,0)),"")</f>
        <v/>
      </c>
      <c r="E330" s="1"/>
      <c r="F330" s="1"/>
      <c r="G330" s="1"/>
      <c r="H330" s="1"/>
    </row>
    <row r="331" spans="1:8" x14ac:dyDescent="0.25">
      <c r="A331" t="str">
        <f>IFERROR(INDEX('Orders &amp; Payments'!$A$2:$A$500,MATCH($E331,'Orders &amp; Payments'!$J$2:$J$500,0)),"")</f>
        <v/>
      </c>
      <c r="B331" t="str">
        <f>IFERROR(INDEX('Orders &amp; Payments'!$B$2:$B$500,MATCH($E331,'Orders &amp; Payments'!$J$2:$J$500,0)),"")</f>
        <v/>
      </c>
      <c r="C331" t="str">
        <f>IFERROR(INDEX('Orders &amp; Payments'!$I$2:$I$500,MATCH($E331,'Orders &amp; Payments'!$J$2:$J$500,0)),"")</f>
        <v/>
      </c>
      <c r="D331" t="str">
        <f>IFERROR(INDEX('Orders &amp; Payments'!$H$2:$H$500,MATCH($E331,'Orders &amp; Payments'!$J$2:$J$500,0)),"")</f>
        <v/>
      </c>
      <c r="E331" s="1"/>
      <c r="F331" s="1"/>
      <c r="G331" s="1"/>
      <c r="H331" s="1"/>
    </row>
    <row r="332" spans="1:8" x14ac:dyDescent="0.25">
      <c r="A332" t="str">
        <f>IFERROR(INDEX('Orders &amp; Payments'!$A$2:$A$500,MATCH($E332,'Orders &amp; Payments'!$J$2:$J$500,0)),"")</f>
        <v/>
      </c>
      <c r="B332" t="str">
        <f>IFERROR(INDEX('Orders &amp; Payments'!$B$2:$B$500,MATCH($E332,'Orders &amp; Payments'!$J$2:$J$500,0)),"")</f>
        <v/>
      </c>
      <c r="C332" t="str">
        <f>IFERROR(INDEX('Orders &amp; Payments'!$I$2:$I$500,MATCH($E332,'Orders &amp; Payments'!$J$2:$J$500,0)),"")</f>
        <v/>
      </c>
      <c r="D332" t="str">
        <f>IFERROR(INDEX('Orders &amp; Payments'!$H$2:$H$500,MATCH($E332,'Orders &amp; Payments'!$J$2:$J$500,0)),"")</f>
        <v/>
      </c>
      <c r="E332" s="1"/>
      <c r="F332" s="1"/>
      <c r="G332" s="1"/>
      <c r="H332" s="1"/>
    </row>
    <row r="333" spans="1:8" x14ac:dyDescent="0.25">
      <c r="A333" t="str">
        <f>IFERROR(INDEX('Orders &amp; Payments'!$A$2:$A$500,MATCH($E333,'Orders &amp; Payments'!$J$2:$J$500,0)),"")</f>
        <v/>
      </c>
      <c r="B333" t="str">
        <f>IFERROR(INDEX('Orders &amp; Payments'!$B$2:$B$500,MATCH($E333,'Orders &amp; Payments'!$J$2:$J$500,0)),"")</f>
        <v/>
      </c>
      <c r="C333" t="str">
        <f>IFERROR(INDEX('Orders &amp; Payments'!$I$2:$I$500,MATCH($E333,'Orders &amp; Payments'!$J$2:$J$500,0)),"")</f>
        <v/>
      </c>
      <c r="D333" t="str">
        <f>IFERROR(INDEX('Orders &amp; Payments'!$H$2:$H$500,MATCH($E333,'Orders &amp; Payments'!$J$2:$J$500,0)),"")</f>
        <v/>
      </c>
      <c r="E333" s="1"/>
      <c r="F333" s="1"/>
      <c r="G333" s="1"/>
      <c r="H333" s="1"/>
    </row>
    <row r="334" spans="1:8" x14ac:dyDescent="0.25">
      <c r="A334" t="str">
        <f>IFERROR(INDEX('Orders &amp; Payments'!$A$2:$A$500,MATCH($E334,'Orders &amp; Payments'!$J$2:$J$500,0)),"")</f>
        <v/>
      </c>
      <c r="B334" t="str">
        <f>IFERROR(INDEX('Orders &amp; Payments'!$B$2:$B$500,MATCH($E334,'Orders &amp; Payments'!$J$2:$J$500,0)),"")</f>
        <v/>
      </c>
      <c r="C334" t="str">
        <f>IFERROR(INDEX('Orders &amp; Payments'!$I$2:$I$500,MATCH($E334,'Orders &amp; Payments'!$J$2:$J$500,0)),"")</f>
        <v/>
      </c>
      <c r="D334" t="str">
        <f>IFERROR(INDEX('Orders &amp; Payments'!$H$2:$H$500,MATCH($E334,'Orders &amp; Payments'!$J$2:$J$500,0)),"")</f>
        <v/>
      </c>
      <c r="E334" s="1"/>
      <c r="F334" s="1"/>
      <c r="G334" s="1"/>
      <c r="H334" s="1"/>
    </row>
    <row r="335" spans="1:8" x14ac:dyDescent="0.25">
      <c r="A335" t="str">
        <f>IFERROR(INDEX('Orders &amp; Payments'!$A$2:$A$500,MATCH($E335,'Orders &amp; Payments'!$J$2:$J$500,0)),"")</f>
        <v/>
      </c>
      <c r="B335" t="str">
        <f>IFERROR(INDEX('Orders &amp; Payments'!$B$2:$B$500,MATCH($E335,'Orders &amp; Payments'!$J$2:$J$500,0)),"")</f>
        <v/>
      </c>
      <c r="C335" t="str">
        <f>IFERROR(INDEX('Orders &amp; Payments'!$I$2:$I$500,MATCH($E335,'Orders &amp; Payments'!$J$2:$J$500,0)),"")</f>
        <v/>
      </c>
      <c r="D335" t="str">
        <f>IFERROR(INDEX('Orders &amp; Payments'!$H$2:$H$500,MATCH($E335,'Orders &amp; Payments'!$J$2:$J$500,0)),"")</f>
        <v/>
      </c>
      <c r="E335" s="1"/>
      <c r="F335" s="1"/>
      <c r="G335" s="1"/>
      <c r="H335" s="1"/>
    </row>
    <row r="336" spans="1:8" x14ac:dyDescent="0.25">
      <c r="A336" t="str">
        <f>IFERROR(INDEX('Orders &amp; Payments'!$A$2:$A$500,MATCH($E336,'Orders &amp; Payments'!$J$2:$J$500,0)),"")</f>
        <v/>
      </c>
      <c r="B336" t="str">
        <f>IFERROR(INDEX('Orders &amp; Payments'!$B$2:$B$500,MATCH($E336,'Orders &amp; Payments'!$J$2:$J$500,0)),"")</f>
        <v/>
      </c>
      <c r="C336" t="str">
        <f>IFERROR(INDEX('Orders &amp; Payments'!$I$2:$I$500,MATCH($E336,'Orders &amp; Payments'!$J$2:$J$500,0)),"")</f>
        <v/>
      </c>
      <c r="D336" t="str">
        <f>IFERROR(INDEX('Orders &amp; Payments'!$H$2:$H$500,MATCH($E336,'Orders &amp; Payments'!$J$2:$J$500,0)),"")</f>
        <v/>
      </c>
      <c r="E336" s="1"/>
      <c r="F336" s="1"/>
      <c r="G336" s="1"/>
      <c r="H336" s="1"/>
    </row>
    <row r="337" spans="1:8" x14ac:dyDescent="0.25">
      <c r="A337" t="str">
        <f>IFERROR(INDEX('Orders &amp; Payments'!$A$2:$A$500,MATCH($E337,'Orders &amp; Payments'!$J$2:$J$500,0)),"")</f>
        <v/>
      </c>
      <c r="B337" t="str">
        <f>IFERROR(INDEX('Orders &amp; Payments'!$B$2:$B$500,MATCH($E337,'Orders &amp; Payments'!$J$2:$J$500,0)),"")</f>
        <v/>
      </c>
      <c r="C337" t="str">
        <f>IFERROR(INDEX('Orders &amp; Payments'!$I$2:$I$500,MATCH($E337,'Orders &amp; Payments'!$J$2:$J$500,0)),"")</f>
        <v/>
      </c>
      <c r="D337" t="str">
        <f>IFERROR(INDEX('Orders &amp; Payments'!$H$2:$H$500,MATCH($E337,'Orders &amp; Payments'!$J$2:$J$500,0)),"")</f>
        <v/>
      </c>
      <c r="E337" s="1"/>
      <c r="F337" s="1"/>
      <c r="G337" s="1"/>
      <c r="H337" s="1"/>
    </row>
    <row r="338" spans="1:8" x14ac:dyDescent="0.25">
      <c r="A338" t="str">
        <f>IFERROR(INDEX('Orders &amp; Payments'!$A$2:$A$500,MATCH($E338,'Orders &amp; Payments'!$J$2:$J$500,0)),"")</f>
        <v/>
      </c>
      <c r="B338" t="str">
        <f>IFERROR(INDEX('Orders &amp; Payments'!$B$2:$B$500,MATCH($E338,'Orders &amp; Payments'!$J$2:$J$500,0)),"")</f>
        <v/>
      </c>
      <c r="C338" t="str">
        <f>IFERROR(INDEX('Orders &amp; Payments'!$I$2:$I$500,MATCH($E338,'Orders &amp; Payments'!$J$2:$J$500,0)),"")</f>
        <v/>
      </c>
      <c r="D338" t="str">
        <f>IFERROR(INDEX('Orders &amp; Payments'!$H$2:$H$500,MATCH($E338,'Orders &amp; Payments'!$J$2:$J$500,0)),"")</f>
        <v/>
      </c>
      <c r="E338" s="1"/>
      <c r="F338" s="1"/>
      <c r="G338" s="1"/>
      <c r="H338" s="1"/>
    </row>
    <row r="339" spans="1:8" x14ac:dyDescent="0.25">
      <c r="A339" t="str">
        <f>IFERROR(INDEX('Orders &amp; Payments'!$A$2:$A$500,MATCH($E339,'Orders &amp; Payments'!$J$2:$J$500,0)),"")</f>
        <v/>
      </c>
      <c r="B339" t="str">
        <f>IFERROR(INDEX('Orders &amp; Payments'!$B$2:$B$500,MATCH($E339,'Orders &amp; Payments'!$J$2:$J$500,0)),"")</f>
        <v/>
      </c>
      <c r="C339" t="str">
        <f>IFERROR(INDEX('Orders &amp; Payments'!$I$2:$I$500,MATCH($E339,'Orders &amp; Payments'!$J$2:$J$500,0)),"")</f>
        <v/>
      </c>
      <c r="D339" t="str">
        <f>IFERROR(INDEX('Orders &amp; Payments'!$H$2:$H$500,MATCH($E339,'Orders &amp; Payments'!$J$2:$J$500,0)),"")</f>
        <v/>
      </c>
      <c r="E339" s="1"/>
      <c r="F339" s="1"/>
      <c r="G339" s="1"/>
      <c r="H339" s="1"/>
    </row>
    <row r="340" spans="1:8" x14ac:dyDescent="0.25">
      <c r="A340" t="str">
        <f>IFERROR(INDEX('Orders &amp; Payments'!$A$2:$A$500,MATCH($E340,'Orders &amp; Payments'!$J$2:$J$500,0)),"")</f>
        <v/>
      </c>
      <c r="B340" t="str">
        <f>IFERROR(INDEX('Orders &amp; Payments'!$B$2:$B$500,MATCH($E340,'Orders &amp; Payments'!$J$2:$J$500,0)),"")</f>
        <v/>
      </c>
      <c r="C340" t="str">
        <f>IFERROR(INDEX('Orders &amp; Payments'!$I$2:$I$500,MATCH($E340,'Orders &amp; Payments'!$J$2:$J$500,0)),"")</f>
        <v/>
      </c>
      <c r="D340" t="str">
        <f>IFERROR(INDEX('Orders &amp; Payments'!$H$2:$H$500,MATCH($E340,'Orders &amp; Payments'!$J$2:$J$500,0)),"")</f>
        <v/>
      </c>
      <c r="E340" s="1"/>
      <c r="F340" s="1"/>
      <c r="G340" s="1"/>
      <c r="H340" s="1"/>
    </row>
    <row r="341" spans="1:8" x14ac:dyDescent="0.25">
      <c r="A341" t="str">
        <f>IFERROR(INDEX('Orders &amp; Payments'!$A$2:$A$500,MATCH($E341,'Orders &amp; Payments'!$J$2:$J$500,0)),"")</f>
        <v/>
      </c>
      <c r="B341" t="str">
        <f>IFERROR(INDEX('Orders &amp; Payments'!$B$2:$B$500,MATCH($E341,'Orders &amp; Payments'!$J$2:$J$500,0)),"")</f>
        <v/>
      </c>
      <c r="C341" t="str">
        <f>IFERROR(INDEX('Orders &amp; Payments'!$I$2:$I$500,MATCH($E341,'Orders &amp; Payments'!$J$2:$J$500,0)),"")</f>
        <v/>
      </c>
      <c r="D341" t="str">
        <f>IFERROR(INDEX('Orders &amp; Payments'!$H$2:$H$500,MATCH($E341,'Orders &amp; Payments'!$J$2:$J$500,0)),"")</f>
        <v/>
      </c>
      <c r="E341" s="1"/>
      <c r="F341" s="1"/>
      <c r="G341" s="1"/>
      <c r="H341" s="1"/>
    </row>
    <row r="342" spans="1:8" x14ac:dyDescent="0.25">
      <c r="A342" t="str">
        <f>IFERROR(INDEX('Orders &amp; Payments'!$A$2:$A$500,MATCH($E342,'Orders &amp; Payments'!$J$2:$J$500,0)),"")</f>
        <v/>
      </c>
      <c r="B342" t="str">
        <f>IFERROR(INDEX('Orders &amp; Payments'!$B$2:$B$500,MATCH($E342,'Orders &amp; Payments'!$J$2:$J$500,0)),"")</f>
        <v/>
      </c>
      <c r="C342" t="str">
        <f>IFERROR(INDEX('Orders &amp; Payments'!$I$2:$I$500,MATCH($E342,'Orders &amp; Payments'!$J$2:$J$500,0)),"")</f>
        <v/>
      </c>
      <c r="D342" t="str">
        <f>IFERROR(INDEX('Orders &amp; Payments'!$H$2:$H$500,MATCH($E342,'Orders &amp; Payments'!$J$2:$J$500,0)),"")</f>
        <v/>
      </c>
      <c r="E342" s="1"/>
      <c r="F342" s="1"/>
      <c r="G342" s="1"/>
      <c r="H342" s="1"/>
    </row>
    <row r="343" spans="1:8" x14ac:dyDescent="0.25">
      <c r="A343" t="str">
        <f>IFERROR(INDEX('Orders &amp; Payments'!$A$2:$A$500,MATCH($E343,'Orders &amp; Payments'!$J$2:$J$500,0)),"")</f>
        <v/>
      </c>
      <c r="B343" t="str">
        <f>IFERROR(INDEX('Orders &amp; Payments'!$B$2:$B$500,MATCH($E343,'Orders &amp; Payments'!$J$2:$J$500,0)),"")</f>
        <v/>
      </c>
      <c r="C343" t="str">
        <f>IFERROR(INDEX('Orders &amp; Payments'!$I$2:$I$500,MATCH($E343,'Orders &amp; Payments'!$J$2:$J$500,0)),"")</f>
        <v/>
      </c>
      <c r="D343" t="str">
        <f>IFERROR(INDEX('Orders &amp; Payments'!$H$2:$H$500,MATCH($E343,'Orders &amp; Payments'!$J$2:$J$500,0)),"")</f>
        <v/>
      </c>
      <c r="E343" s="1"/>
      <c r="F343" s="1"/>
      <c r="G343" s="1"/>
      <c r="H343" s="1"/>
    </row>
    <row r="344" spans="1:8" x14ac:dyDescent="0.25">
      <c r="A344" t="str">
        <f>IFERROR(INDEX('Orders &amp; Payments'!$A$2:$A$500,MATCH($E344,'Orders &amp; Payments'!$J$2:$J$500,0)),"")</f>
        <v/>
      </c>
      <c r="B344" t="str">
        <f>IFERROR(INDEX('Orders &amp; Payments'!$B$2:$B$500,MATCH($E344,'Orders &amp; Payments'!$J$2:$J$500,0)),"")</f>
        <v/>
      </c>
      <c r="C344" t="str">
        <f>IFERROR(INDEX('Orders &amp; Payments'!$I$2:$I$500,MATCH($E344,'Orders &amp; Payments'!$J$2:$J$500,0)),"")</f>
        <v/>
      </c>
      <c r="D344" t="str">
        <f>IFERROR(INDEX('Orders &amp; Payments'!$H$2:$H$500,MATCH($E344,'Orders &amp; Payments'!$J$2:$J$500,0)),"")</f>
        <v/>
      </c>
      <c r="E344" s="1"/>
      <c r="F344" s="1"/>
      <c r="G344" s="1"/>
      <c r="H344" s="1"/>
    </row>
    <row r="345" spans="1:8" x14ac:dyDescent="0.25">
      <c r="A345" t="str">
        <f>IFERROR(INDEX('Orders &amp; Payments'!$A$2:$A$500,MATCH($E345,'Orders &amp; Payments'!$J$2:$J$500,0)),"")</f>
        <v/>
      </c>
      <c r="B345" t="str">
        <f>IFERROR(INDEX('Orders &amp; Payments'!$B$2:$B$500,MATCH($E345,'Orders &amp; Payments'!$J$2:$J$500,0)),"")</f>
        <v/>
      </c>
      <c r="C345" t="str">
        <f>IFERROR(INDEX('Orders &amp; Payments'!$I$2:$I$500,MATCH($E345,'Orders &amp; Payments'!$J$2:$J$500,0)),"")</f>
        <v/>
      </c>
      <c r="D345" t="str">
        <f>IFERROR(INDEX('Orders &amp; Payments'!$H$2:$H$500,MATCH($E345,'Orders &amp; Payments'!$J$2:$J$500,0)),"")</f>
        <v/>
      </c>
      <c r="E345" s="1"/>
      <c r="F345" s="1"/>
      <c r="G345" s="1"/>
      <c r="H345" s="1"/>
    </row>
    <row r="346" spans="1:8" x14ac:dyDescent="0.25">
      <c r="A346" t="str">
        <f>IFERROR(INDEX('Orders &amp; Payments'!$A$2:$A$500,MATCH($E346,'Orders &amp; Payments'!$J$2:$J$500,0)),"")</f>
        <v/>
      </c>
      <c r="B346" t="str">
        <f>IFERROR(INDEX('Orders &amp; Payments'!$B$2:$B$500,MATCH($E346,'Orders &amp; Payments'!$J$2:$J$500,0)),"")</f>
        <v/>
      </c>
      <c r="C346" t="str">
        <f>IFERROR(INDEX('Orders &amp; Payments'!$I$2:$I$500,MATCH($E346,'Orders &amp; Payments'!$J$2:$J$500,0)),"")</f>
        <v/>
      </c>
      <c r="D346" t="str">
        <f>IFERROR(INDEX('Orders &amp; Payments'!$H$2:$H$500,MATCH($E346,'Orders &amp; Payments'!$J$2:$J$500,0)),"")</f>
        <v/>
      </c>
      <c r="E346" s="1"/>
      <c r="F346" s="1"/>
      <c r="G346" s="1"/>
      <c r="H346" s="1"/>
    </row>
    <row r="347" spans="1:8" x14ac:dyDescent="0.25">
      <c r="A347" t="str">
        <f>IFERROR(INDEX('Orders &amp; Payments'!$A$2:$A$500,MATCH($E347,'Orders &amp; Payments'!$J$2:$J$500,0)),"")</f>
        <v/>
      </c>
      <c r="B347" t="str">
        <f>IFERROR(INDEX('Orders &amp; Payments'!$B$2:$B$500,MATCH($E347,'Orders &amp; Payments'!$J$2:$J$500,0)),"")</f>
        <v/>
      </c>
      <c r="C347" t="str">
        <f>IFERROR(INDEX('Orders &amp; Payments'!$I$2:$I$500,MATCH($E347,'Orders &amp; Payments'!$J$2:$J$500,0)),"")</f>
        <v/>
      </c>
      <c r="D347" t="str">
        <f>IFERROR(INDEX('Orders &amp; Payments'!$H$2:$H$500,MATCH($E347,'Orders &amp; Payments'!$J$2:$J$500,0)),"")</f>
        <v/>
      </c>
      <c r="E347" s="1"/>
      <c r="F347" s="1"/>
      <c r="G347" s="1"/>
      <c r="H347" s="1"/>
    </row>
    <row r="348" spans="1:8" x14ac:dyDescent="0.25">
      <c r="A348" t="str">
        <f>IFERROR(INDEX('Orders &amp; Payments'!$A$2:$A$500,MATCH($E348,'Orders &amp; Payments'!$J$2:$J$500,0)),"")</f>
        <v/>
      </c>
      <c r="B348" t="str">
        <f>IFERROR(INDEX('Orders &amp; Payments'!$B$2:$B$500,MATCH($E348,'Orders &amp; Payments'!$J$2:$J$500,0)),"")</f>
        <v/>
      </c>
      <c r="C348" t="str">
        <f>IFERROR(INDEX('Orders &amp; Payments'!$I$2:$I$500,MATCH($E348,'Orders &amp; Payments'!$J$2:$J$500,0)),"")</f>
        <v/>
      </c>
      <c r="D348" t="str">
        <f>IFERROR(INDEX('Orders &amp; Payments'!$H$2:$H$500,MATCH($E348,'Orders &amp; Payments'!$J$2:$J$500,0)),"")</f>
        <v/>
      </c>
      <c r="E348" s="1"/>
      <c r="F348" s="1"/>
      <c r="G348" s="1"/>
      <c r="H348" s="1"/>
    </row>
    <row r="349" spans="1:8" x14ac:dyDescent="0.25">
      <c r="A349" t="str">
        <f>IFERROR(INDEX('Orders &amp; Payments'!$A$2:$A$500,MATCH($E349,'Orders &amp; Payments'!$J$2:$J$500,0)),"")</f>
        <v/>
      </c>
      <c r="B349" t="str">
        <f>IFERROR(INDEX('Orders &amp; Payments'!$B$2:$B$500,MATCH($E349,'Orders &amp; Payments'!$J$2:$J$500,0)),"")</f>
        <v/>
      </c>
      <c r="C349" t="str">
        <f>IFERROR(INDEX('Orders &amp; Payments'!$I$2:$I$500,MATCH($E349,'Orders &amp; Payments'!$J$2:$J$500,0)),"")</f>
        <v/>
      </c>
      <c r="D349" t="str">
        <f>IFERROR(INDEX('Orders &amp; Payments'!$H$2:$H$500,MATCH($E349,'Orders &amp; Payments'!$J$2:$J$500,0)),"")</f>
        <v/>
      </c>
      <c r="E349" s="1"/>
      <c r="F349" s="1"/>
      <c r="G349" s="1"/>
      <c r="H349" s="1"/>
    </row>
    <row r="350" spans="1:8" x14ac:dyDescent="0.25">
      <c r="A350" t="str">
        <f>IFERROR(INDEX('Orders &amp; Payments'!$A$2:$A$500,MATCH($E350,'Orders &amp; Payments'!$J$2:$J$500,0)),"")</f>
        <v/>
      </c>
      <c r="B350" t="str">
        <f>IFERROR(INDEX('Orders &amp; Payments'!$B$2:$B$500,MATCH($E350,'Orders &amp; Payments'!$J$2:$J$500,0)),"")</f>
        <v/>
      </c>
      <c r="C350" t="str">
        <f>IFERROR(INDEX('Orders &amp; Payments'!$I$2:$I$500,MATCH($E350,'Orders &amp; Payments'!$J$2:$J$500,0)),"")</f>
        <v/>
      </c>
      <c r="D350" t="str">
        <f>IFERROR(INDEX('Orders &amp; Payments'!$H$2:$H$500,MATCH($E350,'Orders &amp; Payments'!$J$2:$J$500,0)),"")</f>
        <v/>
      </c>
      <c r="E350" s="1"/>
      <c r="F350" s="1"/>
      <c r="G350" s="1"/>
      <c r="H350" s="1"/>
    </row>
    <row r="351" spans="1:8" x14ac:dyDescent="0.25">
      <c r="A351" t="str">
        <f>IFERROR(INDEX('Orders &amp; Payments'!$A$2:$A$500,MATCH($E351,'Orders &amp; Payments'!$J$2:$J$500,0)),"")</f>
        <v/>
      </c>
      <c r="B351" t="str">
        <f>IFERROR(INDEX('Orders &amp; Payments'!$B$2:$B$500,MATCH($E351,'Orders &amp; Payments'!$J$2:$J$500,0)),"")</f>
        <v/>
      </c>
      <c r="C351" t="str">
        <f>IFERROR(INDEX('Orders &amp; Payments'!$I$2:$I$500,MATCH($E351,'Orders &amp; Payments'!$J$2:$J$500,0)),"")</f>
        <v/>
      </c>
      <c r="D351" t="str">
        <f>IFERROR(INDEX('Orders &amp; Payments'!$H$2:$H$500,MATCH($E351,'Orders &amp; Payments'!$J$2:$J$500,0)),"")</f>
        <v/>
      </c>
      <c r="E351" s="1"/>
      <c r="F351" s="1"/>
      <c r="G351" s="1"/>
      <c r="H351" s="1"/>
    </row>
    <row r="352" spans="1:8" x14ac:dyDescent="0.25">
      <c r="A352" t="str">
        <f>IFERROR(INDEX('Orders &amp; Payments'!$A$2:$A$500,MATCH($E352,'Orders &amp; Payments'!$J$2:$J$500,0)),"")</f>
        <v/>
      </c>
      <c r="B352" t="str">
        <f>IFERROR(INDEX('Orders &amp; Payments'!$B$2:$B$500,MATCH($E352,'Orders &amp; Payments'!$J$2:$J$500,0)),"")</f>
        <v/>
      </c>
      <c r="C352" t="str">
        <f>IFERROR(INDEX('Orders &amp; Payments'!$I$2:$I$500,MATCH($E352,'Orders &amp; Payments'!$J$2:$J$500,0)),"")</f>
        <v/>
      </c>
      <c r="D352" t="str">
        <f>IFERROR(INDEX('Orders &amp; Payments'!$H$2:$H$500,MATCH($E352,'Orders &amp; Payments'!$J$2:$J$500,0)),"")</f>
        <v/>
      </c>
      <c r="E352" s="1"/>
      <c r="F352" s="1"/>
      <c r="G352" s="1"/>
      <c r="H352" s="1"/>
    </row>
    <row r="353" spans="1:8" x14ac:dyDescent="0.25">
      <c r="A353" t="str">
        <f>IFERROR(INDEX('Orders &amp; Payments'!$A$2:$A$500,MATCH($E353,'Orders &amp; Payments'!$J$2:$J$500,0)),"")</f>
        <v/>
      </c>
      <c r="B353" t="str">
        <f>IFERROR(INDEX('Orders &amp; Payments'!$B$2:$B$500,MATCH($E353,'Orders &amp; Payments'!$J$2:$J$500,0)),"")</f>
        <v/>
      </c>
      <c r="C353" t="str">
        <f>IFERROR(INDEX('Orders &amp; Payments'!$I$2:$I$500,MATCH($E353,'Orders &amp; Payments'!$J$2:$J$500,0)),"")</f>
        <v/>
      </c>
      <c r="D353" t="str">
        <f>IFERROR(INDEX('Orders &amp; Payments'!$H$2:$H$500,MATCH($E353,'Orders &amp; Payments'!$J$2:$J$500,0)),"")</f>
        <v/>
      </c>
      <c r="E353" s="1"/>
      <c r="F353" s="1"/>
      <c r="G353" s="1"/>
      <c r="H353" s="1"/>
    </row>
    <row r="354" spans="1:8" x14ac:dyDescent="0.25">
      <c r="A354" t="str">
        <f>IFERROR(INDEX('Orders &amp; Payments'!$A$2:$A$500,MATCH($E354,'Orders &amp; Payments'!$J$2:$J$500,0)),"")</f>
        <v/>
      </c>
      <c r="B354" t="str">
        <f>IFERROR(INDEX('Orders &amp; Payments'!$B$2:$B$500,MATCH($E354,'Orders &amp; Payments'!$J$2:$J$500,0)),"")</f>
        <v/>
      </c>
      <c r="C354" t="str">
        <f>IFERROR(INDEX('Orders &amp; Payments'!$I$2:$I$500,MATCH($E354,'Orders &amp; Payments'!$J$2:$J$500,0)),"")</f>
        <v/>
      </c>
      <c r="D354" t="str">
        <f>IFERROR(INDEX('Orders &amp; Payments'!$H$2:$H$500,MATCH($E354,'Orders &amp; Payments'!$J$2:$J$500,0)),"")</f>
        <v/>
      </c>
      <c r="E354" s="1"/>
      <c r="F354" s="1"/>
      <c r="G354" s="1"/>
      <c r="H354" s="1"/>
    </row>
    <row r="355" spans="1:8" x14ac:dyDescent="0.25">
      <c r="A355" t="str">
        <f>IFERROR(INDEX('Orders &amp; Payments'!$A$2:$A$500,MATCH($E355,'Orders &amp; Payments'!$J$2:$J$500,0)),"")</f>
        <v/>
      </c>
      <c r="B355" t="str">
        <f>IFERROR(INDEX('Orders &amp; Payments'!$B$2:$B$500,MATCH($E355,'Orders &amp; Payments'!$J$2:$J$500,0)),"")</f>
        <v/>
      </c>
      <c r="C355" t="str">
        <f>IFERROR(INDEX('Orders &amp; Payments'!$I$2:$I$500,MATCH($E355,'Orders &amp; Payments'!$J$2:$J$500,0)),"")</f>
        <v/>
      </c>
      <c r="D355" t="str">
        <f>IFERROR(INDEX('Orders &amp; Payments'!$H$2:$H$500,MATCH($E355,'Orders &amp; Payments'!$J$2:$J$500,0)),"")</f>
        <v/>
      </c>
      <c r="E355" s="1"/>
      <c r="F355" s="1"/>
      <c r="G355" s="1"/>
      <c r="H355" s="1"/>
    </row>
    <row r="356" spans="1:8" x14ac:dyDescent="0.25">
      <c r="A356" t="str">
        <f>IFERROR(INDEX('Orders &amp; Payments'!$A$2:$A$500,MATCH($E356,'Orders &amp; Payments'!$J$2:$J$500,0)),"")</f>
        <v/>
      </c>
      <c r="B356" t="str">
        <f>IFERROR(INDEX('Orders &amp; Payments'!$B$2:$B$500,MATCH($E356,'Orders &amp; Payments'!$J$2:$J$500,0)),"")</f>
        <v/>
      </c>
      <c r="C356" t="str">
        <f>IFERROR(INDEX('Orders &amp; Payments'!$I$2:$I$500,MATCH($E356,'Orders &amp; Payments'!$J$2:$J$500,0)),"")</f>
        <v/>
      </c>
      <c r="D356" t="str">
        <f>IFERROR(INDEX('Orders &amp; Payments'!$H$2:$H$500,MATCH($E356,'Orders &amp; Payments'!$J$2:$J$500,0)),"")</f>
        <v/>
      </c>
      <c r="E356" s="1"/>
      <c r="F356" s="1"/>
      <c r="G356" s="1"/>
      <c r="H356" s="1"/>
    </row>
    <row r="357" spans="1:8" x14ac:dyDescent="0.25">
      <c r="A357" t="str">
        <f>IFERROR(INDEX('Orders &amp; Payments'!$A$2:$A$500,MATCH($E357,'Orders &amp; Payments'!$J$2:$J$500,0)),"")</f>
        <v/>
      </c>
      <c r="B357" t="str">
        <f>IFERROR(INDEX('Orders &amp; Payments'!$B$2:$B$500,MATCH($E357,'Orders &amp; Payments'!$J$2:$J$500,0)),"")</f>
        <v/>
      </c>
      <c r="C357" t="str">
        <f>IFERROR(INDEX('Orders &amp; Payments'!$I$2:$I$500,MATCH($E357,'Orders &amp; Payments'!$J$2:$J$500,0)),"")</f>
        <v/>
      </c>
      <c r="D357" t="str">
        <f>IFERROR(INDEX('Orders &amp; Payments'!$H$2:$H$500,MATCH($E357,'Orders &amp; Payments'!$J$2:$J$500,0)),"")</f>
        <v/>
      </c>
      <c r="E357" s="1"/>
      <c r="F357" s="1"/>
      <c r="G357" s="1"/>
      <c r="H357" s="1"/>
    </row>
    <row r="358" spans="1:8" x14ac:dyDescent="0.25">
      <c r="A358" t="str">
        <f>IFERROR(INDEX('Orders &amp; Payments'!$A$2:$A$500,MATCH($E358,'Orders &amp; Payments'!$J$2:$J$500,0)),"")</f>
        <v/>
      </c>
      <c r="B358" t="str">
        <f>IFERROR(INDEX('Orders &amp; Payments'!$B$2:$B$500,MATCH($E358,'Orders &amp; Payments'!$J$2:$J$500,0)),"")</f>
        <v/>
      </c>
      <c r="C358" t="str">
        <f>IFERROR(INDEX('Orders &amp; Payments'!$I$2:$I$500,MATCH($E358,'Orders &amp; Payments'!$J$2:$J$500,0)),"")</f>
        <v/>
      </c>
      <c r="D358" t="str">
        <f>IFERROR(INDEX('Orders &amp; Payments'!$H$2:$H$500,MATCH($E358,'Orders &amp; Payments'!$J$2:$J$500,0)),"")</f>
        <v/>
      </c>
      <c r="E358" s="1"/>
      <c r="F358" s="1"/>
      <c r="G358" s="1"/>
      <c r="H358" s="1"/>
    </row>
    <row r="359" spans="1:8" x14ac:dyDescent="0.25">
      <c r="A359" t="str">
        <f>IFERROR(INDEX('Orders &amp; Payments'!$A$2:$A$500,MATCH($E359,'Orders &amp; Payments'!$J$2:$J$500,0)),"")</f>
        <v/>
      </c>
      <c r="B359" t="str">
        <f>IFERROR(INDEX('Orders &amp; Payments'!$B$2:$B$500,MATCH($E359,'Orders &amp; Payments'!$J$2:$J$500,0)),"")</f>
        <v/>
      </c>
      <c r="C359" t="str">
        <f>IFERROR(INDEX('Orders &amp; Payments'!$I$2:$I$500,MATCH($E359,'Orders &amp; Payments'!$J$2:$J$500,0)),"")</f>
        <v/>
      </c>
      <c r="D359" t="str">
        <f>IFERROR(INDEX('Orders &amp; Payments'!$H$2:$H$500,MATCH($E359,'Orders &amp; Payments'!$J$2:$J$500,0)),"")</f>
        <v/>
      </c>
      <c r="E359" s="1"/>
      <c r="F359" s="1"/>
      <c r="G359" s="1"/>
      <c r="H359" s="1"/>
    </row>
    <row r="360" spans="1:8" x14ac:dyDescent="0.25">
      <c r="A360" t="str">
        <f>IFERROR(INDEX('Orders &amp; Payments'!$A$2:$A$500,MATCH($E360,'Orders &amp; Payments'!$J$2:$J$500,0)),"")</f>
        <v/>
      </c>
      <c r="B360" t="str">
        <f>IFERROR(INDEX('Orders &amp; Payments'!$B$2:$B$500,MATCH($E360,'Orders &amp; Payments'!$J$2:$J$500,0)),"")</f>
        <v/>
      </c>
      <c r="C360" t="str">
        <f>IFERROR(INDEX('Orders &amp; Payments'!$I$2:$I$500,MATCH($E360,'Orders &amp; Payments'!$J$2:$J$500,0)),"")</f>
        <v/>
      </c>
      <c r="D360" t="str">
        <f>IFERROR(INDEX('Orders &amp; Payments'!$H$2:$H$500,MATCH($E360,'Orders &amp; Payments'!$J$2:$J$500,0)),"")</f>
        <v/>
      </c>
      <c r="E360" s="1"/>
      <c r="F360" s="1"/>
      <c r="G360" s="1"/>
      <c r="H360" s="1"/>
    </row>
    <row r="361" spans="1:8" x14ac:dyDescent="0.25">
      <c r="A361" t="str">
        <f>IFERROR(INDEX('Orders &amp; Payments'!$A$2:$A$500,MATCH($E361,'Orders &amp; Payments'!$J$2:$J$500,0)),"")</f>
        <v/>
      </c>
      <c r="B361" t="str">
        <f>IFERROR(INDEX('Orders &amp; Payments'!$B$2:$B$500,MATCH($E361,'Orders &amp; Payments'!$J$2:$J$500,0)),"")</f>
        <v/>
      </c>
      <c r="C361" t="str">
        <f>IFERROR(INDEX('Orders &amp; Payments'!$I$2:$I$500,MATCH($E361,'Orders &amp; Payments'!$J$2:$J$500,0)),"")</f>
        <v/>
      </c>
      <c r="D361" t="str">
        <f>IFERROR(INDEX('Orders &amp; Payments'!$H$2:$H$500,MATCH($E361,'Orders &amp; Payments'!$J$2:$J$500,0)),"")</f>
        <v/>
      </c>
      <c r="E361" s="1"/>
      <c r="F361" s="1"/>
      <c r="G361" s="1"/>
      <c r="H361" s="1"/>
    </row>
    <row r="362" spans="1:8" x14ac:dyDescent="0.25">
      <c r="A362" t="str">
        <f>IFERROR(INDEX('Orders &amp; Payments'!$A$2:$A$500,MATCH($E362,'Orders &amp; Payments'!$J$2:$J$500,0)),"")</f>
        <v/>
      </c>
      <c r="B362" t="str">
        <f>IFERROR(INDEX('Orders &amp; Payments'!$B$2:$B$500,MATCH($E362,'Orders &amp; Payments'!$J$2:$J$500,0)),"")</f>
        <v/>
      </c>
      <c r="C362" t="str">
        <f>IFERROR(INDEX('Orders &amp; Payments'!$I$2:$I$500,MATCH($E362,'Orders &amp; Payments'!$J$2:$J$500,0)),"")</f>
        <v/>
      </c>
      <c r="D362" t="str">
        <f>IFERROR(INDEX('Orders &amp; Payments'!$H$2:$H$500,MATCH($E362,'Orders &amp; Payments'!$J$2:$J$500,0)),"")</f>
        <v/>
      </c>
      <c r="E362" s="1"/>
      <c r="F362" s="1"/>
      <c r="G362" s="1"/>
      <c r="H362" s="1"/>
    </row>
    <row r="363" spans="1:8" x14ac:dyDescent="0.25">
      <c r="A363" t="str">
        <f>IFERROR(INDEX('Orders &amp; Payments'!$A$2:$A$500,MATCH($E363,'Orders &amp; Payments'!$J$2:$J$500,0)),"")</f>
        <v/>
      </c>
      <c r="B363" t="str">
        <f>IFERROR(INDEX('Orders &amp; Payments'!$B$2:$B$500,MATCH($E363,'Orders &amp; Payments'!$J$2:$J$500,0)),"")</f>
        <v/>
      </c>
      <c r="C363" t="str">
        <f>IFERROR(INDEX('Orders &amp; Payments'!$I$2:$I$500,MATCH($E363,'Orders &amp; Payments'!$J$2:$J$500,0)),"")</f>
        <v/>
      </c>
      <c r="D363" t="str">
        <f>IFERROR(INDEX('Orders &amp; Payments'!$H$2:$H$500,MATCH($E363,'Orders &amp; Payments'!$J$2:$J$500,0)),"")</f>
        <v/>
      </c>
      <c r="E363" s="1"/>
      <c r="F363" s="1"/>
      <c r="G363" s="1"/>
      <c r="H363" s="1"/>
    </row>
    <row r="364" spans="1:8" x14ac:dyDescent="0.25">
      <c r="A364" t="str">
        <f>IFERROR(INDEX('Orders &amp; Payments'!$A$2:$A$500,MATCH($E364,'Orders &amp; Payments'!$J$2:$J$500,0)),"")</f>
        <v/>
      </c>
      <c r="B364" t="str">
        <f>IFERROR(INDEX('Orders &amp; Payments'!$B$2:$B$500,MATCH($E364,'Orders &amp; Payments'!$J$2:$J$500,0)),"")</f>
        <v/>
      </c>
      <c r="C364" t="str">
        <f>IFERROR(INDEX('Orders &amp; Payments'!$I$2:$I$500,MATCH($E364,'Orders &amp; Payments'!$J$2:$J$500,0)),"")</f>
        <v/>
      </c>
      <c r="D364" t="str">
        <f>IFERROR(INDEX('Orders &amp; Payments'!$H$2:$H$500,MATCH($E364,'Orders &amp; Payments'!$J$2:$J$500,0)),"")</f>
        <v/>
      </c>
      <c r="E364" s="1"/>
      <c r="F364" s="1"/>
      <c r="G364" s="1"/>
      <c r="H364" s="1"/>
    </row>
    <row r="365" spans="1:8" x14ac:dyDescent="0.25">
      <c r="A365" t="str">
        <f>IFERROR(INDEX('Orders &amp; Payments'!$A$2:$A$500,MATCH($E365,'Orders &amp; Payments'!$J$2:$J$500,0)),"")</f>
        <v/>
      </c>
      <c r="B365" t="str">
        <f>IFERROR(INDEX('Orders &amp; Payments'!$B$2:$B$500,MATCH($E365,'Orders &amp; Payments'!$J$2:$J$500,0)),"")</f>
        <v/>
      </c>
      <c r="C365" t="str">
        <f>IFERROR(INDEX('Orders &amp; Payments'!$I$2:$I$500,MATCH($E365,'Orders &amp; Payments'!$J$2:$J$500,0)),"")</f>
        <v/>
      </c>
      <c r="D365" t="str">
        <f>IFERROR(INDEX('Orders &amp; Payments'!$H$2:$H$500,MATCH($E365,'Orders &amp; Payments'!$J$2:$J$500,0)),"")</f>
        <v/>
      </c>
      <c r="E365" s="1"/>
      <c r="F365" s="1"/>
      <c r="G365" s="1"/>
      <c r="H365" s="1"/>
    </row>
    <row r="366" spans="1:8" x14ac:dyDescent="0.25">
      <c r="A366" t="str">
        <f>IFERROR(INDEX('Orders &amp; Payments'!$A$2:$A$500,MATCH($E366,'Orders &amp; Payments'!$J$2:$J$500,0)),"")</f>
        <v/>
      </c>
      <c r="B366" t="str">
        <f>IFERROR(INDEX('Orders &amp; Payments'!$B$2:$B$500,MATCH($E366,'Orders &amp; Payments'!$J$2:$J$500,0)),"")</f>
        <v/>
      </c>
      <c r="C366" t="str">
        <f>IFERROR(INDEX('Orders &amp; Payments'!$I$2:$I$500,MATCH($E366,'Orders &amp; Payments'!$J$2:$J$500,0)),"")</f>
        <v/>
      </c>
      <c r="D366" t="str">
        <f>IFERROR(INDEX('Orders &amp; Payments'!$H$2:$H$500,MATCH($E366,'Orders &amp; Payments'!$J$2:$J$500,0)),"")</f>
        <v/>
      </c>
      <c r="E366" s="1"/>
      <c r="F366" s="1"/>
      <c r="G366" s="1"/>
      <c r="H366" s="1"/>
    </row>
    <row r="367" spans="1:8" x14ac:dyDescent="0.25">
      <c r="A367" t="str">
        <f>IFERROR(INDEX('Orders &amp; Payments'!$A$2:$A$500,MATCH($E367,'Orders &amp; Payments'!$J$2:$J$500,0)),"")</f>
        <v/>
      </c>
      <c r="B367" t="str">
        <f>IFERROR(INDEX('Orders &amp; Payments'!$B$2:$B$500,MATCH($E367,'Orders &amp; Payments'!$J$2:$J$500,0)),"")</f>
        <v/>
      </c>
      <c r="C367" t="str">
        <f>IFERROR(INDEX('Orders &amp; Payments'!$I$2:$I$500,MATCH($E367,'Orders &amp; Payments'!$J$2:$J$500,0)),"")</f>
        <v/>
      </c>
      <c r="D367" t="str">
        <f>IFERROR(INDEX('Orders &amp; Payments'!$H$2:$H$500,MATCH($E367,'Orders &amp; Payments'!$J$2:$J$500,0)),"")</f>
        <v/>
      </c>
      <c r="E367" s="1"/>
      <c r="F367" s="1"/>
      <c r="G367" s="1"/>
      <c r="H367" s="1"/>
    </row>
    <row r="368" spans="1:8" x14ac:dyDescent="0.25">
      <c r="A368" t="str">
        <f>IFERROR(INDEX('Orders &amp; Payments'!$A$2:$A$500,MATCH($E368,'Orders &amp; Payments'!$J$2:$J$500,0)),"")</f>
        <v/>
      </c>
      <c r="B368" t="str">
        <f>IFERROR(INDEX('Orders &amp; Payments'!$B$2:$B$500,MATCH($E368,'Orders &amp; Payments'!$J$2:$J$500,0)),"")</f>
        <v/>
      </c>
      <c r="C368" t="str">
        <f>IFERROR(INDEX('Orders &amp; Payments'!$I$2:$I$500,MATCH($E368,'Orders &amp; Payments'!$J$2:$J$500,0)),"")</f>
        <v/>
      </c>
      <c r="D368" t="str">
        <f>IFERROR(INDEX('Orders &amp; Payments'!$H$2:$H$500,MATCH($E368,'Orders &amp; Payments'!$J$2:$J$500,0)),"")</f>
        <v/>
      </c>
      <c r="E368" s="1"/>
      <c r="F368" s="1"/>
      <c r="G368" s="1"/>
      <c r="H368" s="1"/>
    </row>
    <row r="369" spans="1:8" x14ac:dyDescent="0.25">
      <c r="A369" t="str">
        <f>IFERROR(INDEX('Orders &amp; Payments'!$A$2:$A$500,MATCH($E369,'Orders &amp; Payments'!$J$2:$J$500,0)),"")</f>
        <v/>
      </c>
      <c r="B369" t="str">
        <f>IFERROR(INDEX('Orders &amp; Payments'!$B$2:$B$500,MATCH($E369,'Orders &amp; Payments'!$J$2:$J$500,0)),"")</f>
        <v/>
      </c>
      <c r="C369" t="str">
        <f>IFERROR(INDEX('Orders &amp; Payments'!$I$2:$I$500,MATCH($E369,'Orders &amp; Payments'!$J$2:$J$500,0)),"")</f>
        <v/>
      </c>
      <c r="D369" t="str">
        <f>IFERROR(INDEX('Orders &amp; Payments'!$H$2:$H$500,MATCH($E369,'Orders &amp; Payments'!$J$2:$J$500,0)),"")</f>
        <v/>
      </c>
      <c r="E369" s="1"/>
      <c r="F369" s="1"/>
      <c r="G369" s="1"/>
      <c r="H369" s="1"/>
    </row>
    <row r="370" spans="1:8" x14ac:dyDescent="0.25">
      <c r="A370" t="str">
        <f>IFERROR(INDEX('Orders &amp; Payments'!$A$2:$A$500,MATCH($E370,'Orders &amp; Payments'!$J$2:$J$500,0)),"")</f>
        <v/>
      </c>
      <c r="B370" t="str">
        <f>IFERROR(INDEX('Orders &amp; Payments'!$B$2:$B$500,MATCH($E370,'Orders &amp; Payments'!$J$2:$J$500,0)),"")</f>
        <v/>
      </c>
      <c r="C370" t="str">
        <f>IFERROR(INDEX('Orders &amp; Payments'!$I$2:$I$500,MATCH($E370,'Orders &amp; Payments'!$J$2:$J$500,0)),"")</f>
        <v/>
      </c>
      <c r="D370" t="str">
        <f>IFERROR(INDEX('Orders &amp; Payments'!$H$2:$H$500,MATCH($E370,'Orders &amp; Payments'!$J$2:$J$500,0)),"")</f>
        <v/>
      </c>
      <c r="E370" s="1"/>
      <c r="F370" s="1"/>
      <c r="G370" s="1"/>
      <c r="H370" s="1"/>
    </row>
    <row r="371" spans="1:8" x14ac:dyDescent="0.25">
      <c r="A371" t="str">
        <f>IFERROR(INDEX('Orders &amp; Payments'!$A$2:$A$500,MATCH($E371,'Orders &amp; Payments'!$J$2:$J$500,0)),"")</f>
        <v/>
      </c>
      <c r="B371" t="str">
        <f>IFERROR(INDEX('Orders &amp; Payments'!$B$2:$B$500,MATCH($E371,'Orders &amp; Payments'!$J$2:$J$500,0)),"")</f>
        <v/>
      </c>
      <c r="C371" t="str">
        <f>IFERROR(INDEX('Orders &amp; Payments'!$I$2:$I$500,MATCH($E371,'Orders &amp; Payments'!$J$2:$J$500,0)),"")</f>
        <v/>
      </c>
      <c r="D371" t="str">
        <f>IFERROR(INDEX('Orders &amp; Payments'!$H$2:$H$500,MATCH($E371,'Orders &amp; Payments'!$J$2:$J$500,0)),"")</f>
        <v/>
      </c>
      <c r="E371" s="1"/>
      <c r="F371" s="1"/>
      <c r="G371" s="1"/>
      <c r="H371" s="1"/>
    </row>
    <row r="372" spans="1:8" x14ac:dyDescent="0.25">
      <c r="A372" t="str">
        <f>IFERROR(INDEX('Orders &amp; Payments'!$A$2:$A$500,MATCH($E372,'Orders &amp; Payments'!$J$2:$J$500,0)),"")</f>
        <v/>
      </c>
      <c r="B372" t="str">
        <f>IFERROR(INDEX('Orders &amp; Payments'!$B$2:$B$500,MATCH($E372,'Orders &amp; Payments'!$J$2:$J$500,0)),"")</f>
        <v/>
      </c>
      <c r="C372" t="str">
        <f>IFERROR(INDEX('Orders &amp; Payments'!$I$2:$I$500,MATCH($E372,'Orders &amp; Payments'!$J$2:$J$500,0)),"")</f>
        <v/>
      </c>
      <c r="D372" t="str">
        <f>IFERROR(INDEX('Orders &amp; Payments'!$H$2:$H$500,MATCH($E372,'Orders &amp; Payments'!$J$2:$J$500,0)),"")</f>
        <v/>
      </c>
      <c r="E372" s="1"/>
      <c r="F372" s="1"/>
      <c r="G372" s="1"/>
      <c r="H372" s="1"/>
    </row>
    <row r="373" spans="1:8" x14ac:dyDescent="0.25">
      <c r="A373" t="str">
        <f>IFERROR(INDEX('Orders &amp; Payments'!$A$2:$A$500,MATCH($E373,'Orders &amp; Payments'!$J$2:$J$500,0)),"")</f>
        <v/>
      </c>
      <c r="B373" t="str">
        <f>IFERROR(INDEX('Orders &amp; Payments'!$B$2:$B$500,MATCH($E373,'Orders &amp; Payments'!$J$2:$J$500,0)),"")</f>
        <v/>
      </c>
      <c r="C373" t="str">
        <f>IFERROR(INDEX('Orders &amp; Payments'!$I$2:$I$500,MATCH($E373,'Orders &amp; Payments'!$J$2:$J$500,0)),"")</f>
        <v/>
      </c>
      <c r="D373" t="str">
        <f>IFERROR(INDEX('Orders &amp; Payments'!$H$2:$H$500,MATCH($E373,'Orders &amp; Payments'!$J$2:$J$500,0)),"")</f>
        <v/>
      </c>
      <c r="E373" s="1"/>
      <c r="F373" s="1"/>
      <c r="G373" s="1"/>
      <c r="H373" s="1"/>
    </row>
    <row r="374" spans="1:8" x14ac:dyDescent="0.25">
      <c r="A374" t="str">
        <f>IFERROR(INDEX('Orders &amp; Payments'!$A$2:$A$500,MATCH($E374,'Orders &amp; Payments'!$J$2:$J$500,0)),"")</f>
        <v/>
      </c>
      <c r="B374" t="str">
        <f>IFERROR(INDEX('Orders &amp; Payments'!$B$2:$B$500,MATCH($E374,'Orders &amp; Payments'!$J$2:$J$500,0)),"")</f>
        <v/>
      </c>
      <c r="C374" t="str">
        <f>IFERROR(INDEX('Orders &amp; Payments'!$I$2:$I$500,MATCH($E374,'Orders &amp; Payments'!$J$2:$J$500,0)),"")</f>
        <v/>
      </c>
      <c r="D374" t="str">
        <f>IFERROR(INDEX('Orders &amp; Payments'!$H$2:$H$500,MATCH($E374,'Orders &amp; Payments'!$J$2:$J$500,0)),"")</f>
        <v/>
      </c>
      <c r="E374" s="1"/>
      <c r="F374" s="1"/>
      <c r="G374" s="1"/>
      <c r="H374" s="1"/>
    </row>
    <row r="375" spans="1:8" x14ac:dyDescent="0.25">
      <c r="A375" t="str">
        <f>IFERROR(INDEX('Orders &amp; Payments'!$A$2:$A$500,MATCH($E375,'Orders &amp; Payments'!$J$2:$J$500,0)),"")</f>
        <v/>
      </c>
      <c r="B375" t="str">
        <f>IFERROR(INDEX('Orders &amp; Payments'!$B$2:$B$500,MATCH($E375,'Orders &amp; Payments'!$J$2:$J$500,0)),"")</f>
        <v/>
      </c>
      <c r="C375" t="str">
        <f>IFERROR(INDEX('Orders &amp; Payments'!$I$2:$I$500,MATCH($E375,'Orders &amp; Payments'!$J$2:$J$500,0)),"")</f>
        <v/>
      </c>
      <c r="D375" t="str">
        <f>IFERROR(INDEX('Orders &amp; Payments'!$H$2:$H$500,MATCH($E375,'Orders &amp; Payments'!$J$2:$J$500,0)),"")</f>
        <v/>
      </c>
      <c r="E375" s="1"/>
      <c r="F375" s="1"/>
      <c r="G375" s="1"/>
      <c r="H375" s="1"/>
    </row>
    <row r="376" spans="1:8" x14ac:dyDescent="0.25">
      <c r="A376" t="str">
        <f>IFERROR(INDEX('Orders &amp; Payments'!$A$2:$A$500,MATCH($E376,'Orders &amp; Payments'!$J$2:$J$500,0)),"")</f>
        <v/>
      </c>
      <c r="B376" t="str">
        <f>IFERROR(INDEX('Orders &amp; Payments'!$B$2:$B$500,MATCH($E376,'Orders &amp; Payments'!$J$2:$J$500,0)),"")</f>
        <v/>
      </c>
      <c r="C376" t="str">
        <f>IFERROR(INDEX('Orders &amp; Payments'!$I$2:$I$500,MATCH($E376,'Orders &amp; Payments'!$J$2:$J$500,0)),"")</f>
        <v/>
      </c>
      <c r="D376" t="str">
        <f>IFERROR(INDEX('Orders &amp; Payments'!$H$2:$H$500,MATCH($E376,'Orders &amp; Payments'!$J$2:$J$500,0)),"")</f>
        <v/>
      </c>
      <c r="E376" s="1"/>
      <c r="F376" s="1"/>
      <c r="G376" s="1"/>
      <c r="H376" s="1"/>
    </row>
    <row r="377" spans="1:8" x14ac:dyDescent="0.25">
      <c r="A377" t="str">
        <f>IFERROR(INDEX('Orders &amp; Payments'!$A$2:$A$500,MATCH($E377,'Orders &amp; Payments'!$J$2:$J$500,0)),"")</f>
        <v/>
      </c>
      <c r="B377" t="str">
        <f>IFERROR(INDEX('Orders &amp; Payments'!$B$2:$B$500,MATCH($E377,'Orders &amp; Payments'!$J$2:$J$500,0)),"")</f>
        <v/>
      </c>
      <c r="C377" t="str">
        <f>IFERROR(INDEX('Orders &amp; Payments'!$I$2:$I$500,MATCH($E377,'Orders &amp; Payments'!$J$2:$J$500,0)),"")</f>
        <v/>
      </c>
      <c r="D377" t="str">
        <f>IFERROR(INDEX('Orders &amp; Payments'!$H$2:$H$500,MATCH($E377,'Orders &amp; Payments'!$J$2:$J$500,0)),"")</f>
        <v/>
      </c>
      <c r="E377" s="1"/>
      <c r="F377" s="1"/>
      <c r="G377" s="1"/>
      <c r="H377" s="1"/>
    </row>
    <row r="378" spans="1:8" x14ac:dyDescent="0.25">
      <c r="A378" t="str">
        <f>IFERROR(INDEX('Orders &amp; Payments'!$A$2:$A$500,MATCH($E378,'Orders &amp; Payments'!$J$2:$J$500,0)),"")</f>
        <v/>
      </c>
      <c r="B378" t="str">
        <f>IFERROR(INDEX('Orders &amp; Payments'!$B$2:$B$500,MATCH($E378,'Orders &amp; Payments'!$J$2:$J$500,0)),"")</f>
        <v/>
      </c>
      <c r="C378" t="str">
        <f>IFERROR(INDEX('Orders &amp; Payments'!$I$2:$I$500,MATCH($E378,'Orders &amp; Payments'!$J$2:$J$500,0)),"")</f>
        <v/>
      </c>
      <c r="D378" t="str">
        <f>IFERROR(INDEX('Orders &amp; Payments'!$H$2:$H$500,MATCH($E378,'Orders &amp; Payments'!$J$2:$J$500,0)),"")</f>
        <v/>
      </c>
      <c r="E378" s="1"/>
      <c r="F378" s="1"/>
      <c r="G378" s="1"/>
      <c r="H378" s="1"/>
    </row>
    <row r="379" spans="1:8" x14ac:dyDescent="0.25">
      <c r="A379" t="str">
        <f>IFERROR(INDEX('Orders &amp; Payments'!$A$2:$A$500,MATCH($E379,'Orders &amp; Payments'!$J$2:$J$500,0)),"")</f>
        <v/>
      </c>
      <c r="B379" t="str">
        <f>IFERROR(INDEX('Orders &amp; Payments'!$B$2:$B$500,MATCH($E379,'Orders &amp; Payments'!$J$2:$J$500,0)),"")</f>
        <v/>
      </c>
      <c r="C379" t="str">
        <f>IFERROR(INDEX('Orders &amp; Payments'!$I$2:$I$500,MATCH($E379,'Orders &amp; Payments'!$J$2:$J$500,0)),"")</f>
        <v/>
      </c>
      <c r="D379" t="str">
        <f>IFERROR(INDEX('Orders &amp; Payments'!$H$2:$H$500,MATCH($E379,'Orders &amp; Payments'!$J$2:$J$500,0)),"")</f>
        <v/>
      </c>
      <c r="E379" s="1"/>
      <c r="F379" s="1"/>
      <c r="G379" s="1"/>
      <c r="H379" s="1"/>
    </row>
    <row r="380" spans="1:8" x14ac:dyDescent="0.25">
      <c r="A380" t="str">
        <f>IFERROR(INDEX('Orders &amp; Payments'!$A$2:$A$500,MATCH($E380,'Orders &amp; Payments'!$J$2:$J$500,0)),"")</f>
        <v/>
      </c>
      <c r="B380" t="str">
        <f>IFERROR(INDEX('Orders &amp; Payments'!$B$2:$B$500,MATCH($E380,'Orders &amp; Payments'!$J$2:$J$500,0)),"")</f>
        <v/>
      </c>
      <c r="C380" t="str">
        <f>IFERROR(INDEX('Orders &amp; Payments'!$I$2:$I$500,MATCH($E380,'Orders &amp; Payments'!$J$2:$J$500,0)),"")</f>
        <v/>
      </c>
      <c r="D380" t="str">
        <f>IFERROR(INDEX('Orders &amp; Payments'!$H$2:$H$500,MATCH($E380,'Orders &amp; Payments'!$J$2:$J$500,0)),"")</f>
        <v/>
      </c>
      <c r="E380" s="1"/>
      <c r="F380" s="1"/>
      <c r="G380" s="1"/>
      <c r="H380" s="1"/>
    </row>
    <row r="381" spans="1:8" x14ac:dyDescent="0.25">
      <c r="A381" t="str">
        <f>IFERROR(INDEX('Orders &amp; Payments'!$A$2:$A$500,MATCH($E381,'Orders &amp; Payments'!$J$2:$J$500,0)),"")</f>
        <v/>
      </c>
      <c r="B381" t="str">
        <f>IFERROR(INDEX('Orders &amp; Payments'!$B$2:$B$500,MATCH($E381,'Orders &amp; Payments'!$J$2:$J$500,0)),"")</f>
        <v/>
      </c>
      <c r="C381" t="str">
        <f>IFERROR(INDEX('Orders &amp; Payments'!$I$2:$I$500,MATCH($E381,'Orders &amp; Payments'!$J$2:$J$500,0)),"")</f>
        <v/>
      </c>
      <c r="D381" t="str">
        <f>IFERROR(INDEX('Orders &amp; Payments'!$H$2:$H$500,MATCH($E381,'Orders &amp; Payments'!$J$2:$J$500,0)),"")</f>
        <v/>
      </c>
      <c r="E381" s="1"/>
      <c r="F381" s="1"/>
      <c r="G381" s="1"/>
      <c r="H381" s="1"/>
    </row>
    <row r="382" spans="1:8" x14ac:dyDescent="0.25">
      <c r="A382" t="str">
        <f>IFERROR(INDEX('Orders &amp; Payments'!$A$2:$A$500,MATCH($E382,'Orders &amp; Payments'!$J$2:$J$500,0)),"")</f>
        <v/>
      </c>
      <c r="B382" t="str">
        <f>IFERROR(INDEX('Orders &amp; Payments'!$B$2:$B$500,MATCH($E382,'Orders &amp; Payments'!$J$2:$J$500,0)),"")</f>
        <v/>
      </c>
      <c r="C382" t="str">
        <f>IFERROR(INDEX('Orders &amp; Payments'!$I$2:$I$500,MATCH($E382,'Orders &amp; Payments'!$J$2:$J$500,0)),"")</f>
        <v/>
      </c>
      <c r="D382" t="str">
        <f>IFERROR(INDEX('Orders &amp; Payments'!$H$2:$H$500,MATCH($E382,'Orders &amp; Payments'!$J$2:$J$500,0)),"")</f>
        <v/>
      </c>
      <c r="E382" s="1"/>
      <c r="F382" s="1"/>
      <c r="G382" s="1"/>
      <c r="H382" s="1"/>
    </row>
    <row r="383" spans="1:8" x14ac:dyDescent="0.25">
      <c r="A383" t="str">
        <f>IFERROR(INDEX('Orders &amp; Payments'!$A$2:$A$500,MATCH($E383,'Orders &amp; Payments'!$J$2:$J$500,0)),"")</f>
        <v/>
      </c>
      <c r="B383" t="str">
        <f>IFERROR(INDEX('Orders &amp; Payments'!$B$2:$B$500,MATCH($E383,'Orders &amp; Payments'!$J$2:$J$500,0)),"")</f>
        <v/>
      </c>
      <c r="C383" t="str">
        <f>IFERROR(INDEX('Orders &amp; Payments'!$I$2:$I$500,MATCH($E383,'Orders &amp; Payments'!$J$2:$J$500,0)),"")</f>
        <v/>
      </c>
      <c r="D383" t="str">
        <f>IFERROR(INDEX('Orders &amp; Payments'!$H$2:$H$500,MATCH($E383,'Orders &amp; Payments'!$J$2:$J$500,0)),"")</f>
        <v/>
      </c>
      <c r="E383" s="1"/>
      <c r="F383" s="1"/>
      <c r="G383" s="1"/>
      <c r="H383" s="1"/>
    </row>
    <row r="384" spans="1:8" x14ac:dyDescent="0.25">
      <c r="A384" t="str">
        <f>IFERROR(INDEX('Orders &amp; Payments'!$A$2:$A$500,MATCH($E384,'Orders &amp; Payments'!$J$2:$J$500,0)),"")</f>
        <v/>
      </c>
      <c r="B384" t="str">
        <f>IFERROR(INDEX('Orders &amp; Payments'!$B$2:$B$500,MATCH($E384,'Orders &amp; Payments'!$J$2:$J$500,0)),"")</f>
        <v/>
      </c>
      <c r="C384" t="str">
        <f>IFERROR(INDEX('Orders &amp; Payments'!$I$2:$I$500,MATCH($E384,'Orders &amp; Payments'!$J$2:$J$500,0)),"")</f>
        <v/>
      </c>
      <c r="D384" t="str">
        <f>IFERROR(INDEX('Orders &amp; Payments'!$H$2:$H$500,MATCH($E384,'Orders &amp; Payments'!$J$2:$J$500,0)),"")</f>
        <v/>
      </c>
      <c r="E384" s="1"/>
      <c r="F384" s="1"/>
      <c r="G384" s="1"/>
      <c r="H384" s="1"/>
    </row>
    <row r="385" spans="1:8" x14ac:dyDescent="0.25">
      <c r="A385" t="str">
        <f>IFERROR(INDEX('Orders &amp; Payments'!$A$2:$A$500,MATCH($E385,'Orders &amp; Payments'!$J$2:$J$500,0)),"")</f>
        <v/>
      </c>
      <c r="B385" t="str">
        <f>IFERROR(INDEX('Orders &amp; Payments'!$B$2:$B$500,MATCH($E385,'Orders &amp; Payments'!$J$2:$J$500,0)),"")</f>
        <v/>
      </c>
      <c r="C385" t="str">
        <f>IFERROR(INDEX('Orders &amp; Payments'!$I$2:$I$500,MATCH($E385,'Orders &amp; Payments'!$J$2:$J$500,0)),"")</f>
        <v/>
      </c>
      <c r="D385" t="str">
        <f>IFERROR(INDEX('Orders &amp; Payments'!$H$2:$H$500,MATCH($E385,'Orders &amp; Payments'!$J$2:$J$500,0)),"")</f>
        <v/>
      </c>
      <c r="E385" s="1"/>
      <c r="F385" s="1"/>
      <c r="G385" s="1"/>
      <c r="H385" s="1"/>
    </row>
    <row r="386" spans="1:8" x14ac:dyDescent="0.25">
      <c r="A386" t="str">
        <f>IFERROR(INDEX('Orders &amp; Payments'!$A$2:$A$500,MATCH($E386,'Orders &amp; Payments'!$J$2:$J$500,0)),"")</f>
        <v/>
      </c>
      <c r="B386" t="str">
        <f>IFERROR(INDEX('Orders &amp; Payments'!$B$2:$B$500,MATCH($E386,'Orders &amp; Payments'!$J$2:$J$500,0)),"")</f>
        <v/>
      </c>
      <c r="C386" t="str">
        <f>IFERROR(INDEX('Orders &amp; Payments'!$I$2:$I$500,MATCH($E386,'Orders &amp; Payments'!$J$2:$J$500,0)),"")</f>
        <v/>
      </c>
      <c r="D386" t="str">
        <f>IFERROR(INDEX('Orders &amp; Payments'!$H$2:$H$500,MATCH($E386,'Orders &amp; Payments'!$J$2:$J$500,0)),"")</f>
        <v/>
      </c>
      <c r="E386" s="1"/>
      <c r="F386" s="1"/>
      <c r="G386" s="1"/>
      <c r="H386" s="1"/>
    </row>
    <row r="387" spans="1:8" x14ac:dyDescent="0.25">
      <c r="A387" t="str">
        <f>IFERROR(INDEX('Orders &amp; Payments'!$A$2:$A$500,MATCH($E387,'Orders &amp; Payments'!$J$2:$J$500,0)),"")</f>
        <v/>
      </c>
      <c r="B387" t="str">
        <f>IFERROR(INDEX('Orders &amp; Payments'!$B$2:$B$500,MATCH($E387,'Orders &amp; Payments'!$J$2:$J$500,0)),"")</f>
        <v/>
      </c>
      <c r="C387" t="str">
        <f>IFERROR(INDEX('Orders &amp; Payments'!$I$2:$I$500,MATCH($E387,'Orders &amp; Payments'!$J$2:$J$500,0)),"")</f>
        <v/>
      </c>
      <c r="D387" t="str">
        <f>IFERROR(INDEX('Orders &amp; Payments'!$H$2:$H$500,MATCH($E387,'Orders &amp; Payments'!$J$2:$J$500,0)),"")</f>
        <v/>
      </c>
      <c r="E387" s="1"/>
      <c r="F387" s="1"/>
      <c r="G387" s="1"/>
      <c r="H387" s="1"/>
    </row>
    <row r="388" spans="1:8" x14ac:dyDescent="0.25">
      <c r="A388" t="str">
        <f>IFERROR(INDEX('Orders &amp; Payments'!$A$2:$A$500,MATCH($E388,'Orders &amp; Payments'!$J$2:$J$500,0)),"")</f>
        <v/>
      </c>
      <c r="B388" t="str">
        <f>IFERROR(INDEX('Orders &amp; Payments'!$B$2:$B$500,MATCH($E388,'Orders &amp; Payments'!$J$2:$J$500,0)),"")</f>
        <v/>
      </c>
      <c r="C388" t="str">
        <f>IFERROR(INDEX('Orders &amp; Payments'!$I$2:$I$500,MATCH($E388,'Orders &amp; Payments'!$J$2:$J$500,0)),"")</f>
        <v/>
      </c>
      <c r="D388" t="str">
        <f>IFERROR(INDEX('Orders &amp; Payments'!$H$2:$H$500,MATCH($E388,'Orders &amp; Payments'!$J$2:$J$500,0)),"")</f>
        <v/>
      </c>
      <c r="E388" s="1"/>
      <c r="F388" s="1"/>
      <c r="G388" s="1"/>
      <c r="H388" s="1"/>
    </row>
    <row r="389" spans="1:8" x14ac:dyDescent="0.25">
      <c r="A389" t="str">
        <f>IFERROR(INDEX('Orders &amp; Payments'!$A$2:$A$500,MATCH($E389,'Orders &amp; Payments'!$J$2:$J$500,0)),"")</f>
        <v/>
      </c>
      <c r="B389" t="str">
        <f>IFERROR(INDEX('Orders &amp; Payments'!$B$2:$B$500,MATCH($E389,'Orders &amp; Payments'!$J$2:$J$500,0)),"")</f>
        <v/>
      </c>
      <c r="C389" t="str">
        <f>IFERROR(INDEX('Orders &amp; Payments'!$I$2:$I$500,MATCH($E389,'Orders &amp; Payments'!$J$2:$J$500,0)),"")</f>
        <v/>
      </c>
      <c r="D389" t="str">
        <f>IFERROR(INDEX('Orders &amp; Payments'!$H$2:$H$500,MATCH($E389,'Orders &amp; Payments'!$J$2:$J$500,0)),"")</f>
        <v/>
      </c>
      <c r="E389" s="1"/>
      <c r="F389" s="1"/>
      <c r="G389" s="1"/>
      <c r="H389" s="1"/>
    </row>
    <row r="390" spans="1:8" x14ac:dyDescent="0.25">
      <c r="A390" t="str">
        <f>IFERROR(INDEX('Orders &amp; Payments'!$A$2:$A$500,MATCH($E390,'Orders &amp; Payments'!$J$2:$J$500,0)),"")</f>
        <v/>
      </c>
      <c r="B390" t="str">
        <f>IFERROR(INDEX('Orders &amp; Payments'!$B$2:$B$500,MATCH($E390,'Orders &amp; Payments'!$J$2:$J$500,0)),"")</f>
        <v/>
      </c>
      <c r="C390" t="str">
        <f>IFERROR(INDEX('Orders &amp; Payments'!$I$2:$I$500,MATCH($E390,'Orders &amp; Payments'!$J$2:$J$500,0)),"")</f>
        <v/>
      </c>
      <c r="D390" t="str">
        <f>IFERROR(INDEX('Orders &amp; Payments'!$H$2:$H$500,MATCH($E390,'Orders &amp; Payments'!$J$2:$J$500,0)),"")</f>
        <v/>
      </c>
      <c r="E390" s="1"/>
      <c r="F390" s="1"/>
      <c r="G390" s="1"/>
      <c r="H390" s="1"/>
    </row>
    <row r="391" spans="1:8" x14ac:dyDescent="0.25">
      <c r="A391" t="str">
        <f>IFERROR(INDEX('Orders &amp; Payments'!$A$2:$A$500,MATCH($E391,'Orders &amp; Payments'!$J$2:$J$500,0)),"")</f>
        <v/>
      </c>
      <c r="B391" t="str">
        <f>IFERROR(INDEX('Orders &amp; Payments'!$B$2:$B$500,MATCH($E391,'Orders &amp; Payments'!$J$2:$J$500,0)),"")</f>
        <v/>
      </c>
      <c r="C391" t="str">
        <f>IFERROR(INDEX('Orders &amp; Payments'!$I$2:$I$500,MATCH($E391,'Orders &amp; Payments'!$J$2:$J$500,0)),"")</f>
        <v/>
      </c>
      <c r="D391" t="str">
        <f>IFERROR(INDEX('Orders &amp; Payments'!$H$2:$H$500,MATCH($E391,'Orders &amp; Payments'!$J$2:$J$500,0)),"")</f>
        <v/>
      </c>
      <c r="E391" s="1"/>
      <c r="F391" s="1"/>
      <c r="G391" s="1"/>
      <c r="H391" s="1"/>
    </row>
    <row r="392" spans="1:8" x14ac:dyDescent="0.25">
      <c r="A392" t="str">
        <f>IFERROR(INDEX('Orders &amp; Payments'!$A$2:$A$500,MATCH($E392,'Orders &amp; Payments'!$J$2:$J$500,0)),"")</f>
        <v/>
      </c>
      <c r="B392" t="str">
        <f>IFERROR(INDEX('Orders &amp; Payments'!$B$2:$B$500,MATCH($E392,'Orders &amp; Payments'!$J$2:$J$500,0)),"")</f>
        <v/>
      </c>
      <c r="C392" t="str">
        <f>IFERROR(INDEX('Orders &amp; Payments'!$I$2:$I$500,MATCH($E392,'Orders &amp; Payments'!$J$2:$J$500,0)),"")</f>
        <v/>
      </c>
      <c r="D392" t="str">
        <f>IFERROR(INDEX('Orders &amp; Payments'!$H$2:$H$500,MATCH($E392,'Orders &amp; Payments'!$J$2:$J$500,0)),"")</f>
        <v/>
      </c>
      <c r="E392" s="1"/>
      <c r="F392" s="1"/>
      <c r="G392" s="1"/>
      <c r="H392" s="1"/>
    </row>
    <row r="393" spans="1:8" x14ac:dyDescent="0.25">
      <c r="A393" t="str">
        <f>IFERROR(INDEX('Orders &amp; Payments'!$A$2:$A$500,MATCH($E393,'Orders &amp; Payments'!$J$2:$J$500,0)),"")</f>
        <v/>
      </c>
      <c r="B393" t="str">
        <f>IFERROR(INDEX('Orders &amp; Payments'!$B$2:$B$500,MATCH($E393,'Orders &amp; Payments'!$J$2:$J$500,0)),"")</f>
        <v/>
      </c>
      <c r="C393" t="str">
        <f>IFERROR(INDEX('Orders &amp; Payments'!$I$2:$I$500,MATCH($E393,'Orders &amp; Payments'!$J$2:$J$500,0)),"")</f>
        <v/>
      </c>
      <c r="D393" t="str">
        <f>IFERROR(INDEX('Orders &amp; Payments'!$H$2:$H$500,MATCH($E393,'Orders &amp; Payments'!$J$2:$J$500,0)),"")</f>
        <v/>
      </c>
      <c r="E393" s="1"/>
      <c r="F393" s="1"/>
      <c r="G393" s="1"/>
      <c r="H393" s="1"/>
    </row>
    <row r="394" spans="1:8" x14ac:dyDescent="0.25">
      <c r="A394" t="str">
        <f>IFERROR(INDEX('Orders &amp; Payments'!$A$2:$A$500,MATCH($E394,'Orders &amp; Payments'!$J$2:$J$500,0)),"")</f>
        <v/>
      </c>
      <c r="B394" t="str">
        <f>IFERROR(INDEX('Orders &amp; Payments'!$B$2:$B$500,MATCH($E394,'Orders &amp; Payments'!$J$2:$J$500,0)),"")</f>
        <v/>
      </c>
      <c r="C394" t="str">
        <f>IFERROR(INDEX('Orders &amp; Payments'!$I$2:$I$500,MATCH($E394,'Orders &amp; Payments'!$J$2:$J$500,0)),"")</f>
        <v/>
      </c>
      <c r="D394" t="str">
        <f>IFERROR(INDEX('Orders &amp; Payments'!$H$2:$H$500,MATCH($E394,'Orders &amp; Payments'!$J$2:$J$500,0)),"")</f>
        <v/>
      </c>
      <c r="E394" s="1"/>
      <c r="F394" s="1"/>
      <c r="G394" s="1"/>
      <c r="H394" s="1"/>
    </row>
    <row r="395" spans="1:8" x14ac:dyDescent="0.25">
      <c r="A395" t="str">
        <f>IFERROR(INDEX('Orders &amp; Payments'!$A$2:$A$500,MATCH($E395,'Orders &amp; Payments'!$J$2:$J$500,0)),"")</f>
        <v/>
      </c>
      <c r="B395" t="str">
        <f>IFERROR(INDEX('Orders &amp; Payments'!$B$2:$B$500,MATCH($E395,'Orders &amp; Payments'!$J$2:$J$500,0)),"")</f>
        <v/>
      </c>
      <c r="C395" t="str">
        <f>IFERROR(INDEX('Orders &amp; Payments'!$I$2:$I$500,MATCH($E395,'Orders &amp; Payments'!$J$2:$J$500,0)),"")</f>
        <v/>
      </c>
      <c r="D395" t="str">
        <f>IFERROR(INDEX('Orders &amp; Payments'!$H$2:$H$500,MATCH($E395,'Orders &amp; Payments'!$J$2:$J$500,0)),"")</f>
        <v/>
      </c>
      <c r="E395" s="1"/>
      <c r="F395" s="1"/>
      <c r="G395" s="1"/>
      <c r="H395" s="1"/>
    </row>
    <row r="396" spans="1:8" x14ac:dyDescent="0.25">
      <c r="A396" t="str">
        <f>IFERROR(INDEX('Orders &amp; Payments'!$A$2:$A$500,MATCH($E396,'Orders &amp; Payments'!$J$2:$J$500,0)),"")</f>
        <v/>
      </c>
      <c r="B396" t="str">
        <f>IFERROR(INDEX('Orders &amp; Payments'!$B$2:$B$500,MATCH($E396,'Orders &amp; Payments'!$J$2:$J$500,0)),"")</f>
        <v/>
      </c>
      <c r="C396" t="str">
        <f>IFERROR(INDEX('Orders &amp; Payments'!$I$2:$I$500,MATCH($E396,'Orders &amp; Payments'!$J$2:$J$500,0)),"")</f>
        <v/>
      </c>
      <c r="D396" t="str">
        <f>IFERROR(INDEX('Orders &amp; Payments'!$H$2:$H$500,MATCH($E396,'Orders &amp; Payments'!$J$2:$J$500,0)),"")</f>
        <v/>
      </c>
      <c r="E396" s="1"/>
      <c r="F396" s="1"/>
      <c r="G396" s="1"/>
      <c r="H396" s="1"/>
    </row>
    <row r="397" spans="1:8" x14ac:dyDescent="0.25">
      <c r="A397" t="str">
        <f>IFERROR(INDEX('Orders &amp; Payments'!$A$2:$A$500,MATCH($E397,'Orders &amp; Payments'!$J$2:$J$500,0)),"")</f>
        <v/>
      </c>
      <c r="B397" t="str">
        <f>IFERROR(INDEX('Orders &amp; Payments'!$B$2:$B$500,MATCH($E397,'Orders &amp; Payments'!$J$2:$J$500,0)),"")</f>
        <v/>
      </c>
      <c r="C397" t="str">
        <f>IFERROR(INDEX('Orders &amp; Payments'!$I$2:$I$500,MATCH($E397,'Orders &amp; Payments'!$J$2:$J$500,0)),"")</f>
        <v/>
      </c>
      <c r="D397" t="str">
        <f>IFERROR(INDEX('Orders &amp; Payments'!$H$2:$H$500,MATCH($E397,'Orders &amp; Payments'!$J$2:$J$500,0)),"")</f>
        <v/>
      </c>
      <c r="E397" s="1"/>
      <c r="F397" s="1"/>
      <c r="G397" s="1"/>
      <c r="H397" s="1"/>
    </row>
    <row r="398" spans="1:8" x14ac:dyDescent="0.25">
      <c r="A398" t="str">
        <f>IFERROR(INDEX('Orders &amp; Payments'!$A$2:$A$500,MATCH($E398,'Orders &amp; Payments'!$J$2:$J$500,0)),"")</f>
        <v/>
      </c>
      <c r="B398" t="str">
        <f>IFERROR(INDEX('Orders &amp; Payments'!$B$2:$B$500,MATCH($E398,'Orders &amp; Payments'!$J$2:$J$500,0)),"")</f>
        <v/>
      </c>
      <c r="C398" t="str">
        <f>IFERROR(INDEX('Orders &amp; Payments'!$I$2:$I$500,MATCH($E398,'Orders &amp; Payments'!$J$2:$J$500,0)),"")</f>
        <v/>
      </c>
      <c r="D398" t="str">
        <f>IFERROR(INDEX('Orders &amp; Payments'!$H$2:$H$500,MATCH($E398,'Orders &amp; Payments'!$J$2:$J$500,0)),"")</f>
        <v/>
      </c>
      <c r="E398" s="1"/>
      <c r="F398" s="1"/>
      <c r="G398" s="1"/>
      <c r="H398" s="1"/>
    </row>
    <row r="399" spans="1:8" x14ac:dyDescent="0.25">
      <c r="A399" t="str">
        <f>IFERROR(INDEX('Orders &amp; Payments'!$A$2:$A$500,MATCH($E399,'Orders &amp; Payments'!$J$2:$J$500,0)),"")</f>
        <v/>
      </c>
      <c r="B399" t="str">
        <f>IFERROR(INDEX('Orders &amp; Payments'!$B$2:$B$500,MATCH($E399,'Orders &amp; Payments'!$J$2:$J$500,0)),"")</f>
        <v/>
      </c>
      <c r="C399" t="str">
        <f>IFERROR(INDEX('Orders &amp; Payments'!$I$2:$I$500,MATCH($E399,'Orders &amp; Payments'!$J$2:$J$500,0)),"")</f>
        <v/>
      </c>
      <c r="D399" t="str">
        <f>IFERROR(INDEX('Orders &amp; Payments'!$H$2:$H$500,MATCH($E399,'Orders &amp; Payments'!$J$2:$J$500,0)),"")</f>
        <v/>
      </c>
      <c r="E399" s="1"/>
      <c r="F399" s="1"/>
      <c r="G399" s="1"/>
      <c r="H399" s="1"/>
    </row>
    <row r="400" spans="1:8" x14ac:dyDescent="0.25">
      <c r="A400" t="str">
        <f>IFERROR(INDEX('Orders &amp; Payments'!$A$2:$A$500,MATCH($E400,'Orders &amp; Payments'!$J$2:$J$500,0)),"")</f>
        <v/>
      </c>
      <c r="B400" t="str">
        <f>IFERROR(INDEX('Orders &amp; Payments'!$B$2:$B$500,MATCH($E400,'Orders &amp; Payments'!$J$2:$J$500,0)),"")</f>
        <v/>
      </c>
      <c r="C400" t="str">
        <f>IFERROR(INDEX('Orders &amp; Payments'!$I$2:$I$500,MATCH($E400,'Orders &amp; Payments'!$J$2:$J$500,0)),"")</f>
        <v/>
      </c>
      <c r="D400" t="str">
        <f>IFERROR(INDEX('Orders &amp; Payments'!$H$2:$H$500,MATCH($E400,'Orders &amp; Payments'!$J$2:$J$500,0)),"")</f>
        <v/>
      </c>
      <c r="E400" s="1"/>
      <c r="F400" s="1"/>
      <c r="G400" s="1"/>
      <c r="H400" s="1"/>
    </row>
    <row r="401" spans="1:8" x14ac:dyDescent="0.25">
      <c r="A401" t="str">
        <f>IFERROR(INDEX('Orders &amp; Payments'!$A$2:$A$500,MATCH($E401,'Orders &amp; Payments'!$J$2:$J$500,0)),"")</f>
        <v/>
      </c>
      <c r="B401" t="str">
        <f>IFERROR(INDEX('Orders &amp; Payments'!$B$2:$B$500,MATCH($E401,'Orders &amp; Payments'!$J$2:$J$500,0)),"")</f>
        <v/>
      </c>
      <c r="C401" t="str">
        <f>IFERROR(INDEX('Orders &amp; Payments'!$I$2:$I$500,MATCH($E401,'Orders &amp; Payments'!$J$2:$J$500,0)),"")</f>
        <v/>
      </c>
      <c r="D401" t="str">
        <f>IFERROR(INDEX('Orders &amp; Payments'!$H$2:$H$500,MATCH($E401,'Orders &amp; Payments'!$J$2:$J$500,0)),"")</f>
        <v/>
      </c>
      <c r="E401" s="1"/>
      <c r="F401" s="1"/>
      <c r="G401" s="1"/>
      <c r="H401" s="1"/>
    </row>
    <row r="402" spans="1:8" x14ac:dyDescent="0.25">
      <c r="A402" t="str">
        <f>IFERROR(INDEX('Orders &amp; Payments'!$A$2:$A$500,MATCH($E402,'Orders &amp; Payments'!$J$2:$J$500,0)),"")</f>
        <v/>
      </c>
      <c r="B402" t="str">
        <f>IFERROR(INDEX('Orders &amp; Payments'!$B$2:$B$500,MATCH($E402,'Orders &amp; Payments'!$J$2:$J$500,0)),"")</f>
        <v/>
      </c>
      <c r="C402" t="str">
        <f>IFERROR(INDEX('Orders &amp; Payments'!$I$2:$I$500,MATCH($E402,'Orders &amp; Payments'!$J$2:$J$500,0)),"")</f>
        <v/>
      </c>
      <c r="D402" t="str">
        <f>IFERROR(INDEX('Orders &amp; Payments'!$H$2:$H$500,MATCH($E402,'Orders &amp; Payments'!$J$2:$J$500,0)),"")</f>
        <v/>
      </c>
      <c r="E402" s="1"/>
      <c r="F402" s="1"/>
      <c r="G402" s="1"/>
      <c r="H402" s="1"/>
    </row>
    <row r="403" spans="1:8" x14ac:dyDescent="0.25">
      <c r="A403" t="str">
        <f>IFERROR(INDEX('Orders &amp; Payments'!$A$2:$A$500,MATCH($E403,'Orders &amp; Payments'!$J$2:$J$500,0)),"")</f>
        <v/>
      </c>
      <c r="B403" t="str">
        <f>IFERROR(INDEX('Orders &amp; Payments'!$B$2:$B$500,MATCH($E403,'Orders &amp; Payments'!$J$2:$J$500,0)),"")</f>
        <v/>
      </c>
      <c r="C403" t="str">
        <f>IFERROR(INDEX('Orders &amp; Payments'!$I$2:$I$500,MATCH($E403,'Orders &amp; Payments'!$J$2:$J$500,0)),"")</f>
        <v/>
      </c>
      <c r="D403" t="str">
        <f>IFERROR(INDEX('Orders &amp; Payments'!$H$2:$H$500,MATCH($E403,'Orders &amp; Payments'!$J$2:$J$500,0)),"")</f>
        <v/>
      </c>
      <c r="E403" s="1"/>
      <c r="F403" s="1"/>
      <c r="G403" s="1"/>
      <c r="H403" s="1"/>
    </row>
    <row r="404" spans="1:8" x14ac:dyDescent="0.25">
      <c r="A404" t="str">
        <f>IFERROR(INDEX('Orders &amp; Payments'!$A$2:$A$500,MATCH($E404,'Orders &amp; Payments'!$J$2:$J$500,0)),"")</f>
        <v/>
      </c>
      <c r="B404" t="str">
        <f>IFERROR(INDEX('Orders &amp; Payments'!$B$2:$B$500,MATCH($E404,'Orders &amp; Payments'!$J$2:$J$500,0)),"")</f>
        <v/>
      </c>
      <c r="C404" t="str">
        <f>IFERROR(INDEX('Orders &amp; Payments'!$I$2:$I$500,MATCH($E404,'Orders &amp; Payments'!$J$2:$J$500,0)),"")</f>
        <v/>
      </c>
      <c r="D404" t="str">
        <f>IFERROR(INDEX('Orders &amp; Payments'!$H$2:$H$500,MATCH($E404,'Orders &amp; Payments'!$J$2:$J$500,0)),"")</f>
        <v/>
      </c>
      <c r="E404" s="1"/>
      <c r="F404" s="1"/>
      <c r="G404" s="1"/>
      <c r="H404" s="1"/>
    </row>
    <row r="405" spans="1:8" x14ac:dyDescent="0.25">
      <c r="A405" t="str">
        <f>IFERROR(INDEX('Orders &amp; Payments'!$A$2:$A$500,MATCH($E405,'Orders &amp; Payments'!$J$2:$J$500,0)),"")</f>
        <v/>
      </c>
      <c r="B405" t="str">
        <f>IFERROR(INDEX('Orders &amp; Payments'!$B$2:$B$500,MATCH($E405,'Orders &amp; Payments'!$J$2:$J$500,0)),"")</f>
        <v/>
      </c>
      <c r="C405" t="str">
        <f>IFERROR(INDEX('Orders &amp; Payments'!$I$2:$I$500,MATCH($E405,'Orders &amp; Payments'!$J$2:$J$500,0)),"")</f>
        <v/>
      </c>
      <c r="D405" t="str">
        <f>IFERROR(INDEX('Orders &amp; Payments'!$H$2:$H$500,MATCH($E405,'Orders &amp; Payments'!$J$2:$J$500,0)),"")</f>
        <v/>
      </c>
      <c r="E405" s="1"/>
      <c r="F405" s="1"/>
      <c r="G405" s="1"/>
      <c r="H405" s="1"/>
    </row>
    <row r="406" spans="1:8" x14ac:dyDescent="0.25">
      <c r="A406" t="str">
        <f>IFERROR(INDEX('Orders &amp; Payments'!$A$2:$A$500,MATCH($E406,'Orders &amp; Payments'!$J$2:$J$500,0)),"")</f>
        <v/>
      </c>
      <c r="B406" t="str">
        <f>IFERROR(INDEX('Orders &amp; Payments'!$B$2:$B$500,MATCH($E406,'Orders &amp; Payments'!$J$2:$J$500,0)),"")</f>
        <v/>
      </c>
      <c r="C406" t="str">
        <f>IFERROR(INDEX('Orders &amp; Payments'!$I$2:$I$500,MATCH($E406,'Orders &amp; Payments'!$J$2:$J$500,0)),"")</f>
        <v/>
      </c>
      <c r="D406" t="str">
        <f>IFERROR(INDEX('Orders &amp; Payments'!$H$2:$H$500,MATCH($E406,'Orders &amp; Payments'!$J$2:$J$500,0)),"")</f>
        <v/>
      </c>
      <c r="E406" s="1"/>
      <c r="F406" s="1"/>
      <c r="G406" s="1"/>
      <c r="H406" s="1"/>
    </row>
    <row r="407" spans="1:8" x14ac:dyDescent="0.25">
      <c r="A407" t="str">
        <f>IFERROR(INDEX('Orders &amp; Payments'!$A$2:$A$500,MATCH($E407,'Orders &amp; Payments'!$J$2:$J$500,0)),"")</f>
        <v/>
      </c>
      <c r="B407" t="str">
        <f>IFERROR(INDEX('Orders &amp; Payments'!$B$2:$B$500,MATCH($E407,'Orders &amp; Payments'!$J$2:$J$500,0)),"")</f>
        <v/>
      </c>
      <c r="C407" t="str">
        <f>IFERROR(INDEX('Orders &amp; Payments'!$I$2:$I$500,MATCH($E407,'Orders &amp; Payments'!$J$2:$J$500,0)),"")</f>
        <v/>
      </c>
      <c r="D407" t="str">
        <f>IFERROR(INDEX('Orders &amp; Payments'!$H$2:$H$500,MATCH($E407,'Orders &amp; Payments'!$J$2:$J$500,0)),"")</f>
        <v/>
      </c>
      <c r="E407" s="1"/>
      <c r="F407" s="1"/>
      <c r="G407" s="1"/>
      <c r="H407" s="1"/>
    </row>
    <row r="408" spans="1:8" x14ac:dyDescent="0.25">
      <c r="A408" t="str">
        <f>IFERROR(INDEX('Orders &amp; Payments'!$A$2:$A$500,MATCH($E408,'Orders &amp; Payments'!$J$2:$J$500,0)),"")</f>
        <v/>
      </c>
      <c r="B408" t="str">
        <f>IFERROR(INDEX('Orders &amp; Payments'!$B$2:$B$500,MATCH($E408,'Orders &amp; Payments'!$J$2:$J$500,0)),"")</f>
        <v/>
      </c>
      <c r="C408" t="str">
        <f>IFERROR(INDEX('Orders &amp; Payments'!$I$2:$I$500,MATCH($E408,'Orders &amp; Payments'!$J$2:$J$500,0)),"")</f>
        <v/>
      </c>
      <c r="D408" t="str">
        <f>IFERROR(INDEX('Orders &amp; Payments'!$H$2:$H$500,MATCH($E408,'Orders &amp; Payments'!$J$2:$J$500,0)),"")</f>
        <v/>
      </c>
      <c r="E408" s="1"/>
      <c r="F408" s="1"/>
      <c r="G408" s="1"/>
      <c r="H408" s="1"/>
    </row>
    <row r="409" spans="1:8" x14ac:dyDescent="0.25">
      <c r="A409" t="str">
        <f>IFERROR(INDEX('Orders &amp; Payments'!$A$2:$A$500,MATCH($E409,'Orders &amp; Payments'!$J$2:$J$500,0)),"")</f>
        <v/>
      </c>
      <c r="B409" t="str">
        <f>IFERROR(INDEX('Orders &amp; Payments'!$B$2:$B$500,MATCH($E409,'Orders &amp; Payments'!$J$2:$J$500,0)),"")</f>
        <v/>
      </c>
      <c r="C409" t="str">
        <f>IFERROR(INDEX('Orders &amp; Payments'!$I$2:$I$500,MATCH($E409,'Orders &amp; Payments'!$J$2:$J$500,0)),"")</f>
        <v/>
      </c>
      <c r="D409" t="str">
        <f>IFERROR(INDEX('Orders &amp; Payments'!$H$2:$H$500,MATCH($E409,'Orders &amp; Payments'!$J$2:$J$500,0)),"")</f>
        <v/>
      </c>
      <c r="E409" s="1"/>
      <c r="F409" s="1"/>
      <c r="G409" s="1"/>
      <c r="H409" s="1"/>
    </row>
    <row r="410" spans="1:8" x14ac:dyDescent="0.25">
      <c r="A410" t="str">
        <f>IFERROR(INDEX('Orders &amp; Payments'!$A$2:$A$500,MATCH($E410,'Orders &amp; Payments'!$J$2:$J$500,0)),"")</f>
        <v/>
      </c>
      <c r="B410" t="str">
        <f>IFERROR(INDEX('Orders &amp; Payments'!$B$2:$B$500,MATCH($E410,'Orders &amp; Payments'!$J$2:$J$500,0)),"")</f>
        <v/>
      </c>
      <c r="C410" t="str">
        <f>IFERROR(INDEX('Orders &amp; Payments'!$I$2:$I$500,MATCH($E410,'Orders &amp; Payments'!$J$2:$J$500,0)),"")</f>
        <v/>
      </c>
      <c r="D410" t="str">
        <f>IFERROR(INDEX('Orders &amp; Payments'!$H$2:$H$500,MATCH($E410,'Orders &amp; Payments'!$J$2:$J$500,0)),"")</f>
        <v/>
      </c>
      <c r="E410" s="1"/>
      <c r="F410" s="1"/>
      <c r="G410" s="1"/>
      <c r="H410" s="1"/>
    </row>
    <row r="411" spans="1:8" x14ac:dyDescent="0.25">
      <c r="A411" t="str">
        <f>IFERROR(INDEX('Orders &amp; Payments'!$A$2:$A$500,MATCH($E411,'Orders &amp; Payments'!$J$2:$J$500,0)),"")</f>
        <v/>
      </c>
      <c r="B411" t="str">
        <f>IFERROR(INDEX('Orders &amp; Payments'!$B$2:$B$500,MATCH($E411,'Orders &amp; Payments'!$J$2:$J$500,0)),"")</f>
        <v/>
      </c>
      <c r="C411" t="str">
        <f>IFERROR(INDEX('Orders &amp; Payments'!$I$2:$I$500,MATCH($E411,'Orders &amp; Payments'!$J$2:$J$500,0)),"")</f>
        <v/>
      </c>
      <c r="D411" t="str">
        <f>IFERROR(INDEX('Orders &amp; Payments'!$H$2:$H$500,MATCH($E411,'Orders &amp; Payments'!$J$2:$J$500,0)),"")</f>
        <v/>
      </c>
      <c r="E411" s="1"/>
      <c r="F411" s="1"/>
      <c r="G411" s="1"/>
      <c r="H411" s="1"/>
    </row>
    <row r="412" spans="1:8" x14ac:dyDescent="0.25">
      <c r="A412" t="str">
        <f>IFERROR(INDEX('Orders &amp; Payments'!$A$2:$A$500,MATCH($E412,'Orders &amp; Payments'!$J$2:$J$500,0)),"")</f>
        <v/>
      </c>
      <c r="B412" t="str">
        <f>IFERROR(INDEX('Orders &amp; Payments'!$B$2:$B$500,MATCH($E412,'Orders &amp; Payments'!$J$2:$J$500,0)),"")</f>
        <v/>
      </c>
      <c r="C412" t="str">
        <f>IFERROR(INDEX('Orders &amp; Payments'!$I$2:$I$500,MATCH($E412,'Orders &amp; Payments'!$J$2:$J$500,0)),"")</f>
        <v/>
      </c>
      <c r="D412" t="str">
        <f>IFERROR(INDEX('Orders &amp; Payments'!$H$2:$H$500,MATCH($E412,'Orders &amp; Payments'!$J$2:$J$500,0)),"")</f>
        <v/>
      </c>
      <c r="E412" s="1"/>
      <c r="F412" s="1"/>
      <c r="G412" s="1"/>
      <c r="H412" s="1"/>
    </row>
    <row r="413" spans="1:8" x14ac:dyDescent="0.25">
      <c r="A413" t="str">
        <f>IFERROR(INDEX('Orders &amp; Payments'!$A$2:$A$500,MATCH($E413,'Orders &amp; Payments'!$J$2:$J$500,0)),"")</f>
        <v/>
      </c>
      <c r="B413" t="str">
        <f>IFERROR(INDEX('Orders &amp; Payments'!$B$2:$B$500,MATCH($E413,'Orders &amp; Payments'!$J$2:$J$500,0)),"")</f>
        <v/>
      </c>
      <c r="C413" t="str">
        <f>IFERROR(INDEX('Orders &amp; Payments'!$I$2:$I$500,MATCH($E413,'Orders &amp; Payments'!$J$2:$J$500,0)),"")</f>
        <v/>
      </c>
      <c r="D413" t="str">
        <f>IFERROR(INDEX('Orders &amp; Payments'!$H$2:$H$500,MATCH($E413,'Orders &amp; Payments'!$J$2:$J$500,0)),"")</f>
        <v/>
      </c>
      <c r="E413" s="1"/>
      <c r="F413" s="1"/>
      <c r="G413" s="1"/>
      <c r="H413" s="1"/>
    </row>
    <row r="414" spans="1:8" x14ac:dyDescent="0.25">
      <c r="A414" t="str">
        <f>IFERROR(INDEX('Orders &amp; Payments'!$A$2:$A$500,MATCH($E414,'Orders &amp; Payments'!$J$2:$J$500,0)),"")</f>
        <v/>
      </c>
      <c r="B414" t="str">
        <f>IFERROR(INDEX('Orders &amp; Payments'!$B$2:$B$500,MATCH($E414,'Orders &amp; Payments'!$J$2:$J$500,0)),"")</f>
        <v/>
      </c>
      <c r="C414" t="str">
        <f>IFERROR(INDEX('Orders &amp; Payments'!$I$2:$I$500,MATCH($E414,'Orders &amp; Payments'!$J$2:$J$500,0)),"")</f>
        <v/>
      </c>
      <c r="D414" t="str">
        <f>IFERROR(INDEX('Orders &amp; Payments'!$H$2:$H$500,MATCH($E414,'Orders &amp; Payments'!$J$2:$J$500,0)),"")</f>
        <v/>
      </c>
      <c r="E414" s="1"/>
      <c r="F414" s="1"/>
      <c r="G414" s="1"/>
      <c r="H414" s="1"/>
    </row>
    <row r="415" spans="1:8" x14ac:dyDescent="0.25">
      <c r="A415" t="str">
        <f>IFERROR(INDEX('Orders &amp; Payments'!$A$2:$A$500,MATCH($E415,'Orders &amp; Payments'!$J$2:$J$500,0)),"")</f>
        <v/>
      </c>
      <c r="B415" t="str">
        <f>IFERROR(INDEX('Orders &amp; Payments'!$B$2:$B$500,MATCH($E415,'Orders &amp; Payments'!$J$2:$J$500,0)),"")</f>
        <v/>
      </c>
      <c r="C415" t="str">
        <f>IFERROR(INDEX('Orders &amp; Payments'!$I$2:$I$500,MATCH($E415,'Orders &amp; Payments'!$J$2:$J$500,0)),"")</f>
        <v/>
      </c>
      <c r="D415" t="str">
        <f>IFERROR(INDEX('Orders &amp; Payments'!$H$2:$H$500,MATCH($E415,'Orders &amp; Payments'!$J$2:$J$500,0)),"")</f>
        <v/>
      </c>
      <c r="E415" s="1"/>
      <c r="F415" s="1"/>
      <c r="G415" s="1"/>
      <c r="H415" s="1"/>
    </row>
    <row r="416" spans="1:8" x14ac:dyDescent="0.25">
      <c r="A416" t="str">
        <f>IFERROR(INDEX('Orders &amp; Payments'!$A$2:$A$500,MATCH($E416,'Orders &amp; Payments'!$J$2:$J$500,0)),"")</f>
        <v/>
      </c>
      <c r="B416" t="str">
        <f>IFERROR(INDEX('Orders &amp; Payments'!$B$2:$B$500,MATCH($E416,'Orders &amp; Payments'!$J$2:$J$500,0)),"")</f>
        <v/>
      </c>
      <c r="C416" t="str">
        <f>IFERROR(INDEX('Orders &amp; Payments'!$I$2:$I$500,MATCH($E416,'Orders &amp; Payments'!$J$2:$J$500,0)),"")</f>
        <v/>
      </c>
      <c r="D416" t="str">
        <f>IFERROR(INDEX('Orders &amp; Payments'!$H$2:$H$500,MATCH($E416,'Orders &amp; Payments'!$J$2:$J$500,0)),"")</f>
        <v/>
      </c>
      <c r="E416" s="1"/>
      <c r="F416" s="1"/>
      <c r="G416" s="1"/>
      <c r="H416" s="1"/>
    </row>
    <row r="417" spans="1:8" x14ac:dyDescent="0.25">
      <c r="A417" t="str">
        <f>IFERROR(INDEX('Orders &amp; Payments'!$A$2:$A$500,MATCH($E417,'Orders &amp; Payments'!$J$2:$J$500,0)),"")</f>
        <v/>
      </c>
      <c r="B417" t="str">
        <f>IFERROR(INDEX('Orders &amp; Payments'!$B$2:$B$500,MATCH($E417,'Orders &amp; Payments'!$J$2:$J$500,0)),"")</f>
        <v/>
      </c>
      <c r="C417" t="str">
        <f>IFERROR(INDEX('Orders &amp; Payments'!$I$2:$I$500,MATCH($E417,'Orders &amp; Payments'!$J$2:$J$500,0)),"")</f>
        <v/>
      </c>
      <c r="D417" t="str">
        <f>IFERROR(INDEX('Orders &amp; Payments'!$H$2:$H$500,MATCH($E417,'Orders &amp; Payments'!$J$2:$J$500,0)),"")</f>
        <v/>
      </c>
      <c r="E417" s="1"/>
      <c r="F417" s="1"/>
      <c r="G417" s="1"/>
      <c r="H417" s="1"/>
    </row>
    <row r="418" spans="1:8" x14ac:dyDescent="0.25">
      <c r="A418" t="str">
        <f>IFERROR(INDEX('Orders &amp; Payments'!$A$2:$A$500,MATCH($E418,'Orders &amp; Payments'!$J$2:$J$500,0)),"")</f>
        <v/>
      </c>
      <c r="B418" t="str">
        <f>IFERROR(INDEX('Orders &amp; Payments'!$B$2:$B$500,MATCH($E418,'Orders &amp; Payments'!$J$2:$J$500,0)),"")</f>
        <v/>
      </c>
      <c r="C418" t="str">
        <f>IFERROR(INDEX('Orders &amp; Payments'!$I$2:$I$500,MATCH($E418,'Orders &amp; Payments'!$J$2:$J$500,0)),"")</f>
        <v/>
      </c>
      <c r="D418" t="str">
        <f>IFERROR(INDEX('Orders &amp; Payments'!$H$2:$H$500,MATCH($E418,'Orders &amp; Payments'!$J$2:$J$500,0)),"")</f>
        <v/>
      </c>
      <c r="E418" s="1"/>
      <c r="F418" s="1"/>
      <c r="G418" s="1"/>
      <c r="H418" s="1"/>
    </row>
    <row r="419" spans="1:8" x14ac:dyDescent="0.25">
      <c r="A419" t="str">
        <f>IFERROR(INDEX('Orders &amp; Payments'!$A$2:$A$500,MATCH($E419,'Orders &amp; Payments'!$J$2:$J$500,0)),"")</f>
        <v/>
      </c>
      <c r="B419" t="str">
        <f>IFERROR(INDEX('Orders &amp; Payments'!$B$2:$B$500,MATCH($E419,'Orders &amp; Payments'!$J$2:$J$500,0)),"")</f>
        <v/>
      </c>
      <c r="C419" t="str">
        <f>IFERROR(INDEX('Orders &amp; Payments'!$I$2:$I$500,MATCH($E419,'Orders &amp; Payments'!$J$2:$J$500,0)),"")</f>
        <v/>
      </c>
      <c r="D419" t="str">
        <f>IFERROR(INDEX('Orders &amp; Payments'!$H$2:$H$500,MATCH($E419,'Orders &amp; Payments'!$J$2:$J$500,0)),"")</f>
        <v/>
      </c>
      <c r="E419" s="1"/>
      <c r="F419" s="1"/>
      <c r="G419" s="1"/>
      <c r="H419" s="1"/>
    </row>
    <row r="420" spans="1:8" x14ac:dyDescent="0.25">
      <c r="A420" t="str">
        <f>IFERROR(INDEX('Orders &amp; Payments'!$A$2:$A$500,MATCH($E420,'Orders &amp; Payments'!$J$2:$J$500,0)),"")</f>
        <v/>
      </c>
      <c r="B420" t="str">
        <f>IFERROR(INDEX('Orders &amp; Payments'!$B$2:$B$500,MATCH($E420,'Orders &amp; Payments'!$J$2:$J$500,0)),"")</f>
        <v/>
      </c>
      <c r="C420" t="str">
        <f>IFERROR(INDEX('Orders &amp; Payments'!$I$2:$I$500,MATCH($E420,'Orders &amp; Payments'!$J$2:$J$500,0)),"")</f>
        <v/>
      </c>
      <c r="D420" t="str">
        <f>IFERROR(INDEX('Orders &amp; Payments'!$H$2:$H$500,MATCH($E420,'Orders &amp; Payments'!$J$2:$J$500,0)),"")</f>
        <v/>
      </c>
      <c r="E420" s="1"/>
      <c r="F420" s="1"/>
      <c r="G420" s="1"/>
      <c r="H420" s="1"/>
    </row>
    <row r="421" spans="1:8" x14ac:dyDescent="0.25">
      <c r="A421" t="str">
        <f>IFERROR(INDEX('Orders &amp; Payments'!$A$2:$A$500,MATCH($E421,'Orders &amp; Payments'!$J$2:$J$500,0)),"")</f>
        <v/>
      </c>
      <c r="B421" t="str">
        <f>IFERROR(INDEX('Orders &amp; Payments'!$B$2:$B$500,MATCH($E421,'Orders &amp; Payments'!$J$2:$J$500,0)),"")</f>
        <v/>
      </c>
      <c r="C421" t="str">
        <f>IFERROR(INDEX('Orders &amp; Payments'!$I$2:$I$500,MATCH($E421,'Orders &amp; Payments'!$J$2:$J$500,0)),"")</f>
        <v/>
      </c>
      <c r="D421" t="str">
        <f>IFERROR(INDEX('Orders &amp; Payments'!$H$2:$H$500,MATCH($E421,'Orders &amp; Payments'!$J$2:$J$500,0)),"")</f>
        <v/>
      </c>
      <c r="E421" s="1"/>
      <c r="F421" s="1"/>
      <c r="G421" s="1"/>
      <c r="H421" s="1"/>
    </row>
    <row r="422" spans="1:8" x14ac:dyDescent="0.25">
      <c r="A422" t="str">
        <f>IFERROR(INDEX('Orders &amp; Payments'!$A$2:$A$500,MATCH($E422,'Orders &amp; Payments'!$J$2:$J$500,0)),"")</f>
        <v/>
      </c>
      <c r="B422" t="str">
        <f>IFERROR(INDEX('Orders &amp; Payments'!$B$2:$B$500,MATCH($E422,'Orders &amp; Payments'!$J$2:$J$500,0)),"")</f>
        <v/>
      </c>
      <c r="C422" t="str">
        <f>IFERROR(INDEX('Orders &amp; Payments'!$I$2:$I$500,MATCH($E422,'Orders &amp; Payments'!$J$2:$J$500,0)),"")</f>
        <v/>
      </c>
      <c r="D422" t="str">
        <f>IFERROR(INDEX('Orders &amp; Payments'!$H$2:$H$500,MATCH($E422,'Orders &amp; Payments'!$J$2:$J$500,0)),"")</f>
        <v/>
      </c>
      <c r="E422" s="1"/>
      <c r="F422" s="1"/>
      <c r="G422" s="1"/>
      <c r="H422" s="1"/>
    </row>
    <row r="423" spans="1:8" x14ac:dyDescent="0.25">
      <c r="A423" t="str">
        <f>IFERROR(INDEX('Orders &amp; Payments'!$A$2:$A$500,MATCH($E423,'Orders &amp; Payments'!$J$2:$J$500,0)),"")</f>
        <v/>
      </c>
      <c r="B423" t="str">
        <f>IFERROR(INDEX('Orders &amp; Payments'!$B$2:$B$500,MATCH($E423,'Orders &amp; Payments'!$J$2:$J$500,0)),"")</f>
        <v/>
      </c>
      <c r="C423" t="str">
        <f>IFERROR(INDEX('Orders &amp; Payments'!$I$2:$I$500,MATCH($E423,'Orders &amp; Payments'!$J$2:$J$500,0)),"")</f>
        <v/>
      </c>
      <c r="D423" t="str">
        <f>IFERROR(INDEX('Orders &amp; Payments'!$H$2:$H$500,MATCH($E423,'Orders &amp; Payments'!$J$2:$J$500,0)),"")</f>
        <v/>
      </c>
      <c r="E423" s="1"/>
      <c r="F423" s="1"/>
      <c r="G423" s="1"/>
      <c r="H423" s="1"/>
    </row>
    <row r="424" spans="1:8" x14ac:dyDescent="0.25">
      <c r="A424" t="str">
        <f>IFERROR(INDEX('Orders &amp; Payments'!$A$2:$A$500,MATCH($E424,'Orders &amp; Payments'!$J$2:$J$500,0)),"")</f>
        <v/>
      </c>
      <c r="B424" t="str">
        <f>IFERROR(INDEX('Orders &amp; Payments'!$B$2:$B$500,MATCH($E424,'Orders &amp; Payments'!$J$2:$J$500,0)),"")</f>
        <v/>
      </c>
      <c r="C424" t="str">
        <f>IFERROR(INDEX('Orders &amp; Payments'!$I$2:$I$500,MATCH($E424,'Orders &amp; Payments'!$J$2:$J$500,0)),"")</f>
        <v/>
      </c>
      <c r="D424" t="str">
        <f>IFERROR(INDEX('Orders &amp; Payments'!$H$2:$H$500,MATCH($E424,'Orders &amp; Payments'!$J$2:$J$500,0)),"")</f>
        <v/>
      </c>
      <c r="E424" s="1"/>
      <c r="F424" s="1"/>
      <c r="G424" s="1"/>
      <c r="H424" s="1"/>
    </row>
    <row r="425" spans="1:8" x14ac:dyDescent="0.25">
      <c r="A425" t="str">
        <f>IFERROR(INDEX('Orders &amp; Payments'!$A$2:$A$500,MATCH($E425,'Orders &amp; Payments'!$J$2:$J$500,0)),"")</f>
        <v/>
      </c>
      <c r="B425" t="str">
        <f>IFERROR(INDEX('Orders &amp; Payments'!$B$2:$B$500,MATCH($E425,'Orders &amp; Payments'!$J$2:$J$500,0)),"")</f>
        <v/>
      </c>
      <c r="C425" t="str">
        <f>IFERROR(INDEX('Orders &amp; Payments'!$I$2:$I$500,MATCH($E425,'Orders &amp; Payments'!$J$2:$J$500,0)),"")</f>
        <v/>
      </c>
      <c r="D425" t="str">
        <f>IFERROR(INDEX('Orders &amp; Payments'!$H$2:$H$500,MATCH($E425,'Orders &amp; Payments'!$J$2:$J$500,0)),"")</f>
        <v/>
      </c>
      <c r="E425" s="1"/>
      <c r="F425" s="1"/>
      <c r="G425" s="1"/>
      <c r="H425" s="1"/>
    </row>
    <row r="426" spans="1:8" x14ac:dyDescent="0.25">
      <c r="A426" t="str">
        <f>IFERROR(INDEX('Orders &amp; Payments'!$A$2:$A$500,MATCH($E426,'Orders &amp; Payments'!$J$2:$J$500,0)),"")</f>
        <v/>
      </c>
      <c r="B426" t="str">
        <f>IFERROR(INDEX('Orders &amp; Payments'!$B$2:$B$500,MATCH($E426,'Orders &amp; Payments'!$J$2:$J$500,0)),"")</f>
        <v/>
      </c>
      <c r="C426" t="str">
        <f>IFERROR(INDEX('Orders &amp; Payments'!$I$2:$I$500,MATCH($E426,'Orders &amp; Payments'!$J$2:$J$500,0)),"")</f>
        <v/>
      </c>
      <c r="D426" t="str">
        <f>IFERROR(INDEX('Orders &amp; Payments'!$H$2:$H$500,MATCH($E426,'Orders &amp; Payments'!$J$2:$J$500,0)),"")</f>
        <v/>
      </c>
      <c r="E426" s="1"/>
      <c r="F426" s="1"/>
      <c r="G426" s="1"/>
      <c r="H426" s="1"/>
    </row>
    <row r="427" spans="1:8" x14ac:dyDescent="0.25">
      <c r="A427" t="str">
        <f>IFERROR(INDEX('Orders &amp; Payments'!$A$2:$A$500,MATCH($E427,'Orders &amp; Payments'!$J$2:$J$500,0)),"")</f>
        <v/>
      </c>
      <c r="B427" t="str">
        <f>IFERROR(INDEX('Orders &amp; Payments'!$B$2:$B$500,MATCH($E427,'Orders &amp; Payments'!$J$2:$J$500,0)),"")</f>
        <v/>
      </c>
      <c r="C427" t="str">
        <f>IFERROR(INDEX('Orders &amp; Payments'!$I$2:$I$500,MATCH($E427,'Orders &amp; Payments'!$J$2:$J$500,0)),"")</f>
        <v/>
      </c>
      <c r="D427" t="str">
        <f>IFERROR(INDEX('Orders &amp; Payments'!$H$2:$H$500,MATCH($E427,'Orders &amp; Payments'!$J$2:$J$500,0)),"")</f>
        <v/>
      </c>
      <c r="E427" s="1"/>
      <c r="F427" s="1"/>
      <c r="G427" s="1"/>
      <c r="H427" s="1"/>
    </row>
    <row r="428" spans="1:8" x14ac:dyDescent="0.25">
      <c r="A428" t="str">
        <f>IFERROR(INDEX('Orders &amp; Payments'!$A$2:$A$500,MATCH($E428,'Orders &amp; Payments'!$J$2:$J$500,0)),"")</f>
        <v/>
      </c>
      <c r="B428" t="str">
        <f>IFERROR(INDEX('Orders &amp; Payments'!$B$2:$B$500,MATCH($E428,'Orders &amp; Payments'!$J$2:$J$500,0)),"")</f>
        <v/>
      </c>
      <c r="C428" t="str">
        <f>IFERROR(INDEX('Orders &amp; Payments'!$I$2:$I$500,MATCH($E428,'Orders &amp; Payments'!$J$2:$J$500,0)),"")</f>
        <v/>
      </c>
      <c r="D428" t="str">
        <f>IFERROR(INDEX('Orders &amp; Payments'!$H$2:$H$500,MATCH($E428,'Orders &amp; Payments'!$J$2:$J$500,0)),"")</f>
        <v/>
      </c>
      <c r="E428" s="1"/>
      <c r="F428" s="1"/>
      <c r="G428" s="1"/>
      <c r="H428" s="1"/>
    </row>
    <row r="429" spans="1:8" x14ac:dyDescent="0.25">
      <c r="A429" t="str">
        <f>IFERROR(INDEX('Orders &amp; Payments'!$A$2:$A$500,MATCH($E429,'Orders &amp; Payments'!$J$2:$J$500,0)),"")</f>
        <v/>
      </c>
      <c r="B429" t="str">
        <f>IFERROR(INDEX('Orders &amp; Payments'!$B$2:$B$500,MATCH($E429,'Orders &amp; Payments'!$J$2:$J$500,0)),"")</f>
        <v/>
      </c>
      <c r="C429" t="str">
        <f>IFERROR(INDEX('Orders &amp; Payments'!$I$2:$I$500,MATCH($E429,'Orders &amp; Payments'!$J$2:$J$500,0)),"")</f>
        <v/>
      </c>
      <c r="D429" t="str">
        <f>IFERROR(INDEX('Orders &amp; Payments'!$H$2:$H$500,MATCH($E429,'Orders &amp; Payments'!$J$2:$J$500,0)),"")</f>
        <v/>
      </c>
      <c r="E429" s="1"/>
      <c r="F429" s="1"/>
      <c r="G429" s="1"/>
      <c r="H429" s="1"/>
    </row>
    <row r="430" spans="1:8" x14ac:dyDescent="0.25">
      <c r="A430" t="str">
        <f>IFERROR(INDEX('Orders &amp; Payments'!$A$2:$A$500,MATCH($E430,'Orders &amp; Payments'!$J$2:$J$500,0)),"")</f>
        <v/>
      </c>
      <c r="B430" t="str">
        <f>IFERROR(INDEX('Orders &amp; Payments'!$B$2:$B$500,MATCH($E430,'Orders &amp; Payments'!$J$2:$J$500,0)),"")</f>
        <v/>
      </c>
      <c r="C430" t="str">
        <f>IFERROR(INDEX('Orders &amp; Payments'!$I$2:$I$500,MATCH($E430,'Orders &amp; Payments'!$J$2:$J$500,0)),"")</f>
        <v/>
      </c>
      <c r="D430" t="str">
        <f>IFERROR(INDEX('Orders &amp; Payments'!$H$2:$H$500,MATCH($E430,'Orders &amp; Payments'!$J$2:$J$500,0)),"")</f>
        <v/>
      </c>
      <c r="E430" s="1"/>
      <c r="F430" s="1"/>
      <c r="G430" s="1"/>
      <c r="H430" s="1"/>
    </row>
    <row r="431" spans="1:8" x14ac:dyDescent="0.25">
      <c r="A431" t="str">
        <f>IFERROR(INDEX('Orders &amp; Payments'!$A$2:$A$500,MATCH($E431,'Orders &amp; Payments'!$J$2:$J$500,0)),"")</f>
        <v/>
      </c>
      <c r="B431" t="str">
        <f>IFERROR(INDEX('Orders &amp; Payments'!$B$2:$B$500,MATCH($E431,'Orders &amp; Payments'!$J$2:$J$500,0)),"")</f>
        <v/>
      </c>
      <c r="C431" t="str">
        <f>IFERROR(INDEX('Orders &amp; Payments'!$I$2:$I$500,MATCH($E431,'Orders &amp; Payments'!$J$2:$J$500,0)),"")</f>
        <v/>
      </c>
      <c r="D431" t="str">
        <f>IFERROR(INDEX('Orders &amp; Payments'!$H$2:$H$500,MATCH($E431,'Orders &amp; Payments'!$J$2:$J$500,0)),"")</f>
        <v/>
      </c>
      <c r="E431" s="1"/>
      <c r="F431" s="1"/>
      <c r="G431" s="1"/>
      <c r="H431" s="1"/>
    </row>
    <row r="432" spans="1:8" x14ac:dyDescent="0.25">
      <c r="A432" t="str">
        <f>IFERROR(INDEX('Orders &amp; Payments'!$A$2:$A$500,MATCH($E432,'Orders &amp; Payments'!$J$2:$J$500,0)),"")</f>
        <v/>
      </c>
      <c r="B432" t="str">
        <f>IFERROR(INDEX('Orders &amp; Payments'!$B$2:$B$500,MATCH($E432,'Orders &amp; Payments'!$J$2:$J$500,0)),"")</f>
        <v/>
      </c>
      <c r="C432" t="str">
        <f>IFERROR(INDEX('Orders &amp; Payments'!$I$2:$I$500,MATCH($E432,'Orders &amp; Payments'!$J$2:$J$500,0)),"")</f>
        <v/>
      </c>
      <c r="D432" t="str">
        <f>IFERROR(INDEX('Orders &amp; Payments'!$H$2:$H$500,MATCH($E432,'Orders &amp; Payments'!$J$2:$J$500,0)),"")</f>
        <v/>
      </c>
      <c r="E432" s="1"/>
      <c r="F432" s="1"/>
      <c r="G432" s="1"/>
      <c r="H432" s="1"/>
    </row>
    <row r="433" spans="1:8" x14ac:dyDescent="0.25">
      <c r="A433" t="str">
        <f>IFERROR(INDEX('Orders &amp; Payments'!$A$2:$A$500,MATCH($E433,'Orders &amp; Payments'!$J$2:$J$500,0)),"")</f>
        <v/>
      </c>
      <c r="B433" t="str">
        <f>IFERROR(INDEX('Orders &amp; Payments'!$B$2:$B$500,MATCH($E433,'Orders &amp; Payments'!$J$2:$J$500,0)),"")</f>
        <v/>
      </c>
      <c r="C433" t="str">
        <f>IFERROR(INDEX('Orders &amp; Payments'!$I$2:$I$500,MATCH($E433,'Orders &amp; Payments'!$J$2:$J$500,0)),"")</f>
        <v/>
      </c>
      <c r="D433" t="str">
        <f>IFERROR(INDEX('Orders &amp; Payments'!$H$2:$H$500,MATCH($E433,'Orders &amp; Payments'!$J$2:$J$500,0)),"")</f>
        <v/>
      </c>
      <c r="E433" s="1"/>
      <c r="F433" s="1"/>
      <c r="G433" s="1"/>
      <c r="H433" s="1"/>
    </row>
    <row r="434" spans="1:8" x14ac:dyDescent="0.25">
      <c r="A434" t="str">
        <f>IFERROR(INDEX('Orders &amp; Payments'!$A$2:$A$500,MATCH($E434,'Orders &amp; Payments'!$J$2:$J$500,0)),"")</f>
        <v/>
      </c>
      <c r="B434" t="str">
        <f>IFERROR(INDEX('Orders &amp; Payments'!$B$2:$B$500,MATCH($E434,'Orders &amp; Payments'!$J$2:$J$500,0)),"")</f>
        <v/>
      </c>
      <c r="C434" t="str">
        <f>IFERROR(INDEX('Orders &amp; Payments'!$I$2:$I$500,MATCH($E434,'Orders &amp; Payments'!$J$2:$J$500,0)),"")</f>
        <v/>
      </c>
      <c r="D434" t="str">
        <f>IFERROR(INDEX('Orders &amp; Payments'!$H$2:$H$500,MATCH($E434,'Orders &amp; Payments'!$J$2:$J$500,0)),"")</f>
        <v/>
      </c>
      <c r="E434" s="1"/>
      <c r="F434" s="1"/>
      <c r="G434" s="1"/>
      <c r="H434" s="1"/>
    </row>
    <row r="435" spans="1:8" x14ac:dyDescent="0.25">
      <c r="A435" t="str">
        <f>IFERROR(INDEX('Orders &amp; Payments'!$A$2:$A$500,MATCH($E435,'Orders &amp; Payments'!$J$2:$J$500,0)),"")</f>
        <v/>
      </c>
      <c r="B435" t="str">
        <f>IFERROR(INDEX('Orders &amp; Payments'!$B$2:$B$500,MATCH($E435,'Orders &amp; Payments'!$J$2:$J$500,0)),"")</f>
        <v/>
      </c>
      <c r="C435" t="str">
        <f>IFERROR(INDEX('Orders &amp; Payments'!$I$2:$I$500,MATCH($E435,'Orders &amp; Payments'!$J$2:$J$500,0)),"")</f>
        <v/>
      </c>
      <c r="D435" t="str">
        <f>IFERROR(INDEX('Orders &amp; Payments'!$H$2:$H$500,MATCH($E435,'Orders &amp; Payments'!$J$2:$J$500,0)),"")</f>
        <v/>
      </c>
      <c r="E435" s="1"/>
      <c r="F435" s="1"/>
      <c r="G435" s="1"/>
      <c r="H435" s="1"/>
    </row>
    <row r="436" spans="1:8" x14ac:dyDescent="0.25">
      <c r="A436" t="str">
        <f>IFERROR(INDEX('Orders &amp; Payments'!$A$2:$A$500,MATCH($E436,'Orders &amp; Payments'!$J$2:$J$500,0)),"")</f>
        <v/>
      </c>
      <c r="B436" t="str">
        <f>IFERROR(INDEX('Orders &amp; Payments'!$B$2:$B$500,MATCH($E436,'Orders &amp; Payments'!$J$2:$J$500,0)),"")</f>
        <v/>
      </c>
      <c r="C436" t="str">
        <f>IFERROR(INDEX('Orders &amp; Payments'!$I$2:$I$500,MATCH($E436,'Orders &amp; Payments'!$J$2:$J$500,0)),"")</f>
        <v/>
      </c>
      <c r="D436" t="str">
        <f>IFERROR(INDEX('Orders &amp; Payments'!$H$2:$H$500,MATCH($E436,'Orders &amp; Payments'!$J$2:$J$500,0)),"")</f>
        <v/>
      </c>
      <c r="E436" s="1"/>
      <c r="F436" s="1"/>
      <c r="G436" s="1"/>
      <c r="H436" s="1"/>
    </row>
    <row r="437" spans="1:8" x14ac:dyDescent="0.25">
      <c r="A437" t="str">
        <f>IFERROR(INDEX('Orders &amp; Payments'!$A$2:$A$500,MATCH($E437,'Orders &amp; Payments'!$J$2:$J$500,0)),"")</f>
        <v/>
      </c>
      <c r="B437" t="str">
        <f>IFERROR(INDEX('Orders &amp; Payments'!$B$2:$B$500,MATCH($E437,'Orders &amp; Payments'!$J$2:$J$500,0)),"")</f>
        <v/>
      </c>
      <c r="C437" t="str">
        <f>IFERROR(INDEX('Orders &amp; Payments'!$I$2:$I$500,MATCH($E437,'Orders &amp; Payments'!$J$2:$J$500,0)),"")</f>
        <v/>
      </c>
      <c r="D437" t="str">
        <f>IFERROR(INDEX('Orders &amp; Payments'!$H$2:$H$500,MATCH($E437,'Orders &amp; Payments'!$J$2:$J$500,0)),"")</f>
        <v/>
      </c>
      <c r="E437" s="1"/>
      <c r="F437" s="1"/>
      <c r="G437" s="1"/>
      <c r="H437" s="1"/>
    </row>
    <row r="438" spans="1:8" x14ac:dyDescent="0.25">
      <c r="A438" t="str">
        <f>IFERROR(INDEX('Orders &amp; Payments'!$A$2:$A$500,MATCH($E438,'Orders &amp; Payments'!$J$2:$J$500,0)),"")</f>
        <v/>
      </c>
      <c r="B438" t="str">
        <f>IFERROR(INDEX('Orders &amp; Payments'!$B$2:$B$500,MATCH($E438,'Orders &amp; Payments'!$J$2:$J$500,0)),"")</f>
        <v/>
      </c>
      <c r="C438" t="str">
        <f>IFERROR(INDEX('Orders &amp; Payments'!$I$2:$I$500,MATCH($E438,'Orders &amp; Payments'!$J$2:$J$500,0)),"")</f>
        <v/>
      </c>
      <c r="D438" t="str">
        <f>IFERROR(INDEX('Orders &amp; Payments'!$H$2:$H$500,MATCH($E438,'Orders &amp; Payments'!$J$2:$J$500,0)),"")</f>
        <v/>
      </c>
      <c r="E438" s="1"/>
      <c r="F438" s="1"/>
      <c r="G438" s="1"/>
      <c r="H438" s="1"/>
    </row>
    <row r="439" spans="1:8" x14ac:dyDescent="0.25">
      <c r="A439" t="str">
        <f>IFERROR(INDEX('Orders &amp; Payments'!$A$2:$A$500,MATCH($E439,'Orders &amp; Payments'!$J$2:$J$500,0)),"")</f>
        <v/>
      </c>
      <c r="B439" t="str">
        <f>IFERROR(INDEX('Orders &amp; Payments'!$B$2:$B$500,MATCH($E439,'Orders &amp; Payments'!$J$2:$J$500,0)),"")</f>
        <v/>
      </c>
      <c r="C439" t="str">
        <f>IFERROR(INDEX('Orders &amp; Payments'!$I$2:$I$500,MATCH($E439,'Orders &amp; Payments'!$J$2:$J$500,0)),"")</f>
        <v/>
      </c>
      <c r="D439" t="str">
        <f>IFERROR(INDEX('Orders &amp; Payments'!$H$2:$H$500,MATCH($E439,'Orders &amp; Payments'!$J$2:$J$500,0)),"")</f>
        <v/>
      </c>
      <c r="E439" s="1"/>
      <c r="F439" s="1"/>
      <c r="G439" s="1"/>
      <c r="H439" s="1"/>
    </row>
    <row r="440" spans="1:8" x14ac:dyDescent="0.25">
      <c r="A440" t="str">
        <f>IFERROR(INDEX('Orders &amp; Payments'!$A$2:$A$500,MATCH($E440,'Orders &amp; Payments'!$J$2:$J$500,0)),"")</f>
        <v/>
      </c>
      <c r="B440" t="str">
        <f>IFERROR(INDEX('Orders &amp; Payments'!$B$2:$B$500,MATCH($E440,'Orders &amp; Payments'!$J$2:$J$500,0)),"")</f>
        <v/>
      </c>
      <c r="C440" t="str">
        <f>IFERROR(INDEX('Orders &amp; Payments'!$I$2:$I$500,MATCH($E440,'Orders &amp; Payments'!$J$2:$J$500,0)),"")</f>
        <v/>
      </c>
      <c r="D440" t="str">
        <f>IFERROR(INDEX('Orders &amp; Payments'!$H$2:$H$500,MATCH($E440,'Orders &amp; Payments'!$J$2:$J$500,0)),"")</f>
        <v/>
      </c>
      <c r="E440" s="1"/>
      <c r="F440" s="1"/>
      <c r="G440" s="1"/>
      <c r="H440" s="1"/>
    </row>
    <row r="441" spans="1:8" x14ac:dyDescent="0.25">
      <c r="A441" t="str">
        <f>IFERROR(INDEX('Orders &amp; Payments'!$A$2:$A$500,MATCH($E441,'Orders &amp; Payments'!$J$2:$J$500,0)),"")</f>
        <v/>
      </c>
      <c r="B441" t="str">
        <f>IFERROR(INDEX('Orders &amp; Payments'!$B$2:$B$500,MATCH($E441,'Orders &amp; Payments'!$J$2:$J$500,0)),"")</f>
        <v/>
      </c>
      <c r="C441" t="str">
        <f>IFERROR(INDEX('Orders &amp; Payments'!$I$2:$I$500,MATCH($E441,'Orders &amp; Payments'!$J$2:$J$500,0)),"")</f>
        <v/>
      </c>
      <c r="D441" t="str">
        <f>IFERROR(INDEX('Orders &amp; Payments'!$H$2:$H$500,MATCH($E441,'Orders &amp; Payments'!$J$2:$J$500,0)),"")</f>
        <v/>
      </c>
      <c r="E441" s="1"/>
      <c r="F441" s="1"/>
      <c r="G441" s="1"/>
      <c r="H441" s="1"/>
    </row>
    <row r="442" spans="1:8" x14ac:dyDescent="0.25">
      <c r="A442" t="str">
        <f>IFERROR(INDEX('Orders &amp; Payments'!$A$2:$A$500,MATCH($E442,'Orders &amp; Payments'!$J$2:$J$500,0)),"")</f>
        <v/>
      </c>
      <c r="B442" t="str">
        <f>IFERROR(INDEX('Orders &amp; Payments'!$B$2:$B$500,MATCH($E442,'Orders &amp; Payments'!$J$2:$J$500,0)),"")</f>
        <v/>
      </c>
      <c r="C442" t="str">
        <f>IFERROR(INDEX('Orders &amp; Payments'!$I$2:$I$500,MATCH($E442,'Orders &amp; Payments'!$J$2:$J$500,0)),"")</f>
        <v/>
      </c>
      <c r="D442" t="str">
        <f>IFERROR(INDEX('Orders &amp; Payments'!$H$2:$H$500,MATCH($E442,'Orders &amp; Payments'!$J$2:$J$500,0)),"")</f>
        <v/>
      </c>
      <c r="E442" s="1"/>
      <c r="F442" s="1"/>
      <c r="G442" s="1"/>
      <c r="H442" s="1"/>
    </row>
    <row r="443" spans="1:8" x14ac:dyDescent="0.25">
      <c r="A443" t="str">
        <f>IFERROR(INDEX('Orders &amp; Payments'!$A$2:$A$500,MATCH($E443,'Orders &amp; Payments'!$J$2:$J$500,0)),"")</f>
        <v/>
      </c>
      <c r="B443" t="str">
        <f>IFERROR(INDEX('Orders &amp; Payments'!$B$2:$B$500,MATCH($E443,'Orders &amp; Payments'!$J$2:$J$500,0)),"")</f>
        <v/>
      </c>
      <c r="C443" t="str">
        <f>IFERROR(INDEX('Orders &amp; Payments'!$I$2:$I$500,MATCH($E443,'Orders &amp; Payments'!$J$2:$J$500,0)),"")</f>
        <v/>
      </c>
      <c r="D443" t="str">
        <f>IFERROR(INDEX('Orders &amp; Payments'!$H$2:$H$500,MATCH($E443,'Orders &amp; Payments'!$J$2:$J$500,0)),"")</f>
        <v/>
      </c>
      <c r="E443" s="1"/>
      <c r="F443" s="1"/>
      <c r="G443" s="1"/>
      <c r="H443" s="1"/>
    </row>
    <row r="444" spans="1:8" x14ac:dyDescent="0.25">
      <c r="A444" t="str">
        <f>IFERROR(INDEX('Orders &amp; Payments'!$A$2:$A$500,MATCH($E444,'Orders &amp; Payments'!$J$2:$J$500,0)),"")</f>
        <v/>
      </c>
      <c r="B444" t="str">
        <f>IFERROR(INDEX('Orders &amp; Payments'!$B$2:$B$500,MATCH($E444,'Orders &amp; Payments'!$J$2:$J$500,0)),"")</f>
        <v/>
      </c>
      <c r="C444" t="str">
        <f>IFERROR(INDEX('Orders &amp; Payments'!$I$2:$I$500,MATCH($E444,'Orders &amp; Payments'!$J$2:$J$500,0)),"")</f>
        <v/>
      </c>
      <c r="D444" t="str">
        <f>IFERROR(INDEX('Orders &amp; Payments'!$H$2:$H$500,MATCH($E444,'Orders &amp; Payments'!$J$2:$J$500,0)),"")</f>
        <v/>
      </c>
      <c r="E444" s="1"/>
      <c r="F444" s="1"/>
      <c r="G444" s="1"/>
      <c r="H444" s="1"/>
    </row>
    <row r="445" spans="1:8" x14ac:dyDescent="0.25">
      <c r="A445" t="str">
        <f>IFERROR(INDEX('Orders &amp; Payments'!$A$2:$A$500,MATCH($E445,'Orders &amp; Payments'!$J$2:$J$500,0)),"")</f>
        <v/>
      </c>
      <c r="B445" t="str">
        <f>IFERROR(INDEX('Orders &amp; Payments'!$B$2:$B$500,MATCH($E445,'Orders &amp; Payments'!$J$2:$J$500,0)),"")</f>
        <v/>
      </c>
      <c r="C445" t="str">
        <f>IFERROR(INDEX('Orders &amp; Payments'!$I$2:$I$500,MATCH($E445,'Orders &amp; Payments'!$J$2:$J$500,0)),"")</f>
        <v/>
      </c>
      <c r="D445" t="str">
        <f>IFERROR(INDEX('Orders &amp; Payments'!$H$2:$H$500,MATCH($E445,'Orders &amp; Payments'!$J$2:$J$500,0)),"")</f>
        <v/>
      </c>
      <c r="E445" s="1"/>
      <c r="F445" s="1"/>
      <c r="G445" s="1"/>
      <c r="H445" s="1"/>
    </row>
    <row r="446" spans="1:8" x14ac:dyDescent="0.25">
      <c r="A446" t="str">
        <f>IFERROR(INDEX('Orders &amp; Payments'!$A$2:$A$500,MATCH($E446,'Orders &amp; Payments'!$J$2:$J$500,0)),"")</f>
        <v/>
      </c>
      <c r="B446" t="str">
        <f>IFERROR(INDEX('Orders &amp; Payments'!$B$2:$B$500,MATCH($E446,'Orders &amp; Payments'!$J$2:$J$500,0)),"")</f>
        <v/>
      </c>
      <c r="C446" t="str">
        <f>IFERROR(INDEX('Orders &amp; Payments'!$I$2:$I$500,MATCH($E446,'Orders &amp; Payments'!$J$2:$J$500,0)),"")</f>
        <v/>
      </c>
      <c r="D446" t="str">
        <f>IFERROR(INDEX('Orders &amp; Payments'!$H$2:$H$500,MATCH($E446,'Orders &amp; Payments'!$J$2:$J$500,0)),"")</f>
        <v/>
      </c>
      <c r="E446" s="1"/>
      <c r="F446" s="1"/>
      <c r="G446" s="1"/>
      <c r="H446" s="1"/>
    </row>
    <row r="447" spans="1:8" x14ac:dyDescent="0.25">
      <c r="A447" t="str">
        <f>IFERROR(INDEX('Orders &amp; Payments'!$A$2:$A$500,MATCH($E447,'Orders &amp; Payments'!$J$2:$J$500,0)),"")</f>
        <v/>
      </c>
      <c r="B447" t="str">
        <f>IFERROR(INDEX('Orders &amp; Payments'!$B$2:$B$500,MATCH($E447,'Orders &amp; Payments'!$J$2:$J$500,0)),"")</f>
        <v/>
      </c>
      <c r="C447" t="str">
        <f>IFERROR(INDEX('Orders &amp; Payments'!$I$2:$I$500,MATCH($E447,'Orders &amp; Payments'!$J$2:$J$500,0)),"")</f>
        <v/>
      </c>
      <c r="D447" t="str">
        <f>IFERROR(INDEX('Orders &amp; Payments'!$H$2:$H$500,MATCH($E447,'Orders &amp; Payments'!$J$2:$J$500,0)),"")</f>
        <v/>
      </c>
      <c r="E447" s="1"/>
      <c r="F447" s="1"/>
      <c r="G447" s="1"/>
      <c r="H447" s="1"/>
    </row>
    <row r="448" spans="1:8" x14ac:dyDescent="0.25">
      <c r="A448" t="str">
        <f>IFERROR(INDEX('Orders &amp; Payments'!$A$2:$A$500,MATCH($E448,'Orders &amp; Payments'!$J$2:$J$500,0)),"")</f>
        <v/>
      </c>
      <c r="B448" t="str">
        <f>IFERROR(INDEX('Orders &amp; Payments'!$B$2:$B$500,MATCH($E448,'Orders &amp; Payments'!$J$2:$J$500,0)),"")</f>
        <v/>
      </c>
      <c r="C448" t="str">
        <f>IFERROR(INDEX('Orders &amp; Payments'!$I$2:$I$500,MATCH($E448,'Orders &amp; Payments'!$J$2:$J$500,0)),"")</f>
        <v/>
      </c>
      <c r="D448" t="str">
        <f>IFERROR(INDEX('Orders &amp; Payments'!$H$2:$H$500,MATCH($E448,'Orders &amp; Payments'!$J$2:$J$500,0)),"")</f>
        <v/>
      </c>
      <c r="E448" s="1"/>
      <c r="F448" s="1"/>
      <c r="G448" s="1"/>
      <c r="H448" s="1"/>
    </row>
    <row r="449" spans="1:8" x14ac:dyDescent="0.25">
      <c r="A449" t="str">
        <f>IFERROR(INDEX('Orders &amp; Payments'!$A$2:$A$500,MATCH($E449,'Orders &amp; Payments'!$J$2:$J$500,0)),"")</f>
        <v/>
      </c>
      <c r="B449" t="str">
        <f>IFERROR(INDEX('Orders &amp; Payments'!$B$2:$B$500,MATCH($E449,'Orders &amp; Payments'!$J$2:$J$500,0)),"")</f>
        <v/>
      </c>
      <c r="C449" t="str">
        <f>IFERROR(INDEX('Orders &amp; Payments'!$I$2:$I$500,MATCH($E449,'Orders &amp; Payments'!$J$2:$J$500,0)),"")</f>
        <v/>
      </c>
      <c r="D449" t="str">
        <f>IFERROR(INDEX('Orders &amp; Payments'!$H$2:$H$500,MATCH($E449,'Orders &amp; Payments'!$J$2:$J$500,0)),"")</f>
        <v/>
      </c>
      <c r="E449" s="1"/>
      <c r="F449" s="1"/>
      <c r="G449" s="1"/>
      <c r="H449" s="1"/>
    </row>
    <row r="450" spans="1:8" x14ac:dyDescent="0.25">
      <c r="A450" t="str">
        <f>IFERROR(INDEX('Orders &amp; Payments'!$A$2:$A$500,MATCH($E450,'Orders &amp; Payments'!$J$2:$J$500,0)),"")</f>
        <v/>
      </c>
      <c r="B450" t="str">
        <f>IFERROR(INDEX('Orders &amp; Payments'!$B$2:$B$500,MATCH($E450,'Orders &amp; Payments'!$J$2:$J$500,0)),"")</f>
        <v/>
      </c>
      <c r="C450" t="str">
        <f>IFERROR(INDEX('Orders &amp; Payments'!$I$2:$I$500,MATCH($E450,'Orders &amp; Payments'!$J$2:$J$500,0)),"")</f>
        <v/>
      </c>
      <c r="D450" t="str">
        <f>IFERROR(INDEX('Orders &amp; Payments'!$H$2:$H$500,MATCH($E450,'Orders &amp; Payments'!$J$2:$J$500,0)),"")</f>
        <v/>
      </c>
      <c r="E450" s="1"/>
      <c r="F450" s="1"/>
      <c r="G450" s="1"/>
      <c r="H450" s="1"/>
    </row>
    <row r="451" spans="1:8" x14ac:dyDescent="0.25">
      <c r="A451" t="str">
        <f>IFERROR(INDEX('Orders &amp; Payments'!$A$2:$A$500,MATCH($E451,'Orders &amp; Payments'!$J$2:$J$500,0)),"")</f>
        <v/>
      </c>
      <c r="B451" t="str">
        <f>IFERROR(INDEX('Orders &amp; Payments'!$B$2:$B$500,MATCH($E451,'Orders &amp; Payments'!$J$2:$J$500,0)),"")</f>
        <v/>
      </c>
      <c r="C451" t="str">
        <f>IFERROR(INDEX('Orders &amp; Payments'!$I$2:$I$500,MATCH($E451,'Orders &amp; Payments'!$J$2:$J$500,0)),"")</f>
        <v/>
      </c>
      <c r="D451" t="str">
        <f>IFERROR(INDEX('Orders &amp; Payments'!$H$2:$H$500,MATCH($E451,'Orders &amp; Payments'!$J$2:$J$500,0)),"")</f>
        <v/>
      </c>
      <c r="E451" s="1"/>
      <c r="F451" s="1"/>
      <c r="G451" s="1"/>
      <c r="H451" s="1"/>
    </row>
    <row r="452" spans="1:8" x14ac:dyDescent="0.25">
      <c r="A452" t="str">
        <f>IFERROR(INDEX('Orders &amp; Payments'!$A$2:$A$500,MATCH($E452,'Orders &amp; Payments'!$J$2:$J$500,0)),"")</f>
        <v/>
      </c>
      <c r="B452" t="str">
        <f>IFERROR(INDEX('Orders &amp; Payments'!$B$2:$B$500,MATCH($E452,'Orders &amp; Payments'!$J$2:$J$500,0)),"")</f>
        <v/>
      </c>
      <c r="C452" t="str">
        <f>IFERROR(INDEX('Orders &amp; Payments'!$I$2:$I$500,MATCH($E452,'Orders &amp; Payments'!$J$2:$J$500,0)),"")</f>
        <v/>
      </c>
      <c r="D452" t="str">
        <f>IFERROR(INDEX('Orders &amp; Payments'!$H$2:$H$500,MATCH($E452,'Orders &amp; Payments'!$J$2:$J$500,0)),"")</f>
        <v/>
      </c>
      <c r="E452" s="1"/>
      <c r="F452" s="1"/>
      <c r="G452" s="1"/>
      <c r="H452" s="1"/>
    </row>
    <row r="453" spans="1:8" x14ac:dyDescent="0.25">
      <c r="A453" t="str">
        <f>IFERROR(INDEX('Orders &amp; Payments'!$A$2:$A$500,MATCH($E453,'Orders &amp; Payments'!$J$2:$J$500,0)),"")</f>
        <v/>
      </c>
      <c r="B453" t="str">
        <f>IFERROR(INDEX('Orders &amp; Payments'!$B$2:$B$500,MATCH($E453,'Orders &amp; Payments'!$J$2:$J$500,0)),"")</f>
        <v/>
      </c>
      <c r="C453" t="str">
        <f>IFERROR(INDEX('Orders &amp; Payments'!$I$2:$I$500,MATCH($E453,'Orders &amp; Payments'!$J$2:$J$500,0)),"")</f>
        <v/>
      </c>
      <c r="D453" t="str">
        <f>IFERROR(INDEX('Orders &amp; Payments'!$H$2:$H$500,MATCH($E453,'Orders &amp; Payments'!$J$2:$J$500,0)),"")</f>
        <v/>
      </c>
      <c r="E453" s="1"/>
      <c r="F453" s="1"/>
      <c r="G453" s="1"/>
      <c r="H453" s="1"/>
    </row>
    <row r="454" spans="1:8" x14ac:dyDescent="0.25">
      <c r="A454" t="str">
        <f>IFERROR(INDEX('Orders &amp; Payments'!$A$2:$A$500,MATCH($E454,'Orders &amp; Payments'!$J$2:$J$500,0)),"")</f>
        <v/>
      </c>
      <c r="B454" t="str">
        <f>IFERROR(INDEX('Orders &amp; Payments'!$B$2:$B$500,MATCH($E454,'Orders &amp; Payments'!$J$2:$J$500,0)),"")</f>
        <v/>
      </c>
      <c r="C454" t="str">
        <f>IFERROR(INDEX('Orders &amp; Payments'!$I$2:$I$500,MATCH($E454,'Orders &amp; Payments'!$J$2:$J$500,0)),"")</f>
        <v/>
      </c>
      <c r="D454" t="str">
        <f>IFERROR(INDEX('Orders &amp; Payments'!$H$2:$H$500,MATCH($E454,'Orders &amp; Payments'!$J$2:$J$500,0)),"")</f>
        <v/>
      </c>
      <c r="E454" s="1"/>
      <c r="F454" s="1"/>
      <c r="G454" s="1"/>
      <c r="H454" s="1"/>
    </row>
    <row r="455" spans="1:8" x14ac:dyDescent="0.25">
      <c r="A455" t="str">
        <f>IFERROR(INDEX('Orders &amp; Payments'!$A$2:$A$500,MATCH($E455,'Orders &amp; Payments'!$J$2:$J$500,0)),"")</f>
        <v/>
      </c>
      <c r="B455" t="str">
        <f>IFERROR(INDEX('Orders &amp; Payments'!$B$2:$B$500,MATCH($E455,'Orders &amp; Payments'!$J$2:$J$500,0)),"")</f>
        <v/>
      </c>
      <c r="C455" t="str">
        <f>IFERROR(INDEX('Orders &amp; Payments'!$I$2:$I$500,MATCH($E455,'Orders &amp; Payments'!$J$2:$J$500,0)),"")</f>
        <v/>
      </c>
      <c r="D455" t="str">
        <f>IFERROR(INDEX('Orders &amp; Payments'!$H$2:$H$500,MATCH($E455,'Orders &amp; Payments'!$J$2:$J$500,0)),"")</f>
        <v/>
      </c>
      <c r="E455" s="1"/>
      <c r="F455" s="1"/>
      <c r="G455" s="1"/>
      <c r="H455" s="1"/>
    </row>
    <row r="456" spans="1:8" x14ac:dyDescent="0.25">
      <c r="A456" t="str">
        <f>IFERROR(INDEX('Orders &amp; Payments'!$A$2:$A$500,MATCH($E456,'Orders &amp; Payments'!$J$2:$J$500,0)),"")</f>
        <v/>
      </c>
      <c r="B456" t="str">
        <f>IFERROR(INDEX('Orders &amp; Payments'!$B$2:$B$500,MATCH($E456,'Orders &amp; Payments'!$J$2:$J$500,0)),"")</f>
        <v/>
      </c>
      <c r="C456" t="str">
        <f>IFERROR(INDEX('Orders &amp; Payments'!$I$2:$I$500,MATCH($E456,'Orders &amp; Payments'!$J$2:$J$500,0)),"")</f>
        <v/>
      </c>
      <c r="D456" t="str">
        <f>IFERROR(INDEX('Orders &amp; Payments'!$H$2:$H$500,MATCH($E456,'Orders &amp; Payments'!$J$2:$J$500,0)),"")</f>
        <v/>
      </c>
      <c r="E456" s="1"/>
      <c r="F456" s="1"/>
      <c r="G456" s="1"/>
      <c r="H456" s="1"/>
    </row>
    <row r="457" spans="1:8" x14ac:dyDescent="0.25">
      <c r="A457" t="str">
        <f>IFERROR(INDEX('Orders &amp; Payments'!$A$2:$A$500,MATCH($E457,'Orders &amp; Payments'!$J$2:$J$500,0)),"")</f>
        <v/>
      </c>
      <c r="B457" t="str">
        <f>IFERROR(INDEX('Orders &amp; Payments'!$B$2:$B$500,MATCH($E457,'Orders &amp; Payments'!$J$2:$J$500,0)),"")</f>
        <v/>
      </c>
      <c r="C457" t="str">
        <f>IFERROR(INDEX('Orders &amp; Payments'!$I$2:$I$500,MATCH($E457,'Orders &amp; Payments'!$J$2:$J$500,0)),"")</f>
        <v/>
      </c>
      <c r="D457" t="str">
        <f>IFERROR(INDEX('Orders &amp; Payments'!$H$2:$H$500,MATCH($E457,'Orders &amp; Payments'!$J$2:$J$500,0)),"")</f>
        <v/>
      </c>
      <c r="E457" s="1"/>
      <c r="F457" s="1"/>
      <c r="G457" s="1"/>
      <c r="H457" s="1"/>
    </row>
    <row r="458" spans="1:8" x14ac:dyDescent="0.25">
      <c r="A458" t="str">
        <f>IFERROR(INDEX('Orders &amp; Payments'!$A$2:$A$500,MATCH($E458,'Orders &amp; Payments'!$J$2:$J$500,0)),"")</f>
        <v/>
      </c>
      <c r="B458" t="str">
        <f>IFERROR(INDEX('Orders &amp; Payments'!$B$2:$B$500,MATCH($E458,'Orders &amp; Payments'!$J$2:$J$500,0)),"")</f>
        <v/>
      </c>
      <c r="C458" t="str">
        <f>IFERROR(INDEX('Orders &amp; Payments'!$I$2:$I$500,MATCH($E458,'Orders &amp; Payments'!$J$2:$J$500,0)),"")</f>
        <v/>
      </c>
      <c r="D458" t="str">
        <f>IFERROR(INDEX('Orders &amp; Payments'!$H$2:$H$500,MATCH($E458,'Orders &amp; Payments'!$J$2:$J$500,0)),"")</f>
        <v/>
      </c>
      <c r="E458" s="1"/>
      <c r="F458" s="1"/>
      <c r="G458" s="1"/>
      <c r="H458" s="1"/>
    </row>
    <row r="459" spans="1:8" x14ac:dyDescent="0.25">
      <c r="A459" t="str">
        <f>IFERROR(INDEX('Orders &amp; Payments'!$A$2:$A$500,MATCH($E459,'Orders &amp; Payments'!$J$2:$J$500,0)),"")</f>
        <v/>
      </c>
      <c r="B459" t="str">
        <f>IFERROR(INDEX('Orders &amp; Payments'!$B$2:$B$500,MATCH($E459,'Orders &amp; Payments'!$J$2:$J$500,0)),"")</f>
        <v/>
      </c>
      <c r="C459" t="str">
        <f>IFERROR(INDEX('Orders &amp; Payments'!$I$2:$I$500,MATCH($E459,'Orders &amp; Payments'!$J$2:$J$500,0)),"")</f>
        <v/>
      </c>
      <c r="D459" t="str">
        <f>IFERROR(INDEX('Orders &amp; Payments'!$H$2:$H$500,MATCH($E459,'Orders &amp; Payments'!$J$2:$J$500,0)),"")</f>
        <v/>
      </c>
      <c r="E459" s="1"/>
      <c r="F459" s="1"/>
      <c r="G459" s="1"/>
      <c r="H459" s="1"/>
    </row>
    <row r="460" spans="1:8" x14ac:dyDescent="0.25">
      <c r="A460" t="str">
        <f>IFERROR(INDEX('Orders &amp; Payments'!$A$2:$A$500,MATCH($E460,'Orders &amp; Payments'!$J$2:$J$500,0)),"")</f>
        <v/>
      </c>
      <c r="B460" t="str">
        <f>IFERROR(INDEX('Orders &amp; Payments'!$B$2:$B$500,MATCH($E460,'Orders &amp; Payments'!$J$2:$J$500,0)),"")</f>
        <v/>
      </c>
      <c r="C460" t="str">
        <f>IFERROR(INDEX('Orders &amp; Payments'!$I$2:$I$500,MATCH($E460,'Orders &amp; Payments'!$J$2:$J$500,0)),"")</f>
        <v/>
      </c>
      <c r="D460" t="str">
        <f>IFERROR(INDEX('Orders &amp; Payments'!$H$2:$H$500,MATCH($E460,'Orders &amp; Payments'!$J$2:$J$500,0)),"")</f>
        <v/>
      </c>
      <c r="E460" s="1"/>
      <c r="F460" s="1"/>
      <c r="G460" s="1"/>
      <c r="H460" s="1"/>
    </row>
    <row r="461" spans="1:8" x14ac:dyDescent="0.25">
      <c r="A461" t="str">
        <f>IFERROR(INDEX('Orders &amp; Payments'!$A$2:$A$500,MATCH($E461,'Orders &amp; Payments'!$J$2:$J$500,0)),"")</f>
        <v/>
      </c>
      <c r="B461" t="str">
        <f>IFERROR(INDEX('Orders &amp; Payments'!$B$2:$B$500,MATCH($E461,'Orders &amp; Payments'!$J$2:$J$500,0)),"")</f>
        <v/>
      </c>
      <c r="C461" t="str">
        <f>IFERROR(INDEX('Orders &amp; Payments'!$I$2:$I$500,MATCH($E461,'Orders &amp; Payments'!$J$2:$J$500,0)),"")</f>
        <v/>
      </c>
      <c r="D461" t="str">
        <f>IFERROR(INDEX('Orders &amp; Payments'!$H$2:$H$500,MATCH($E461,'Orders &amp; Payments'!$J$2:$J$500,0)),"")</f>
        <v/>
      </c>
      <c r="E461" s="1"/>
      <c r="F461" s="1"/>
      <c r="G461" s="1"/>
      <c r="H461" s="1"/>
    </row>
    <row r="462" spans="1:8" x14ac:dyDescent="0.25">
      <c r="A462" t="str">
        <f>IFERROR(INDEX('Orders &amp; Payments'!$A$2:$A$500,MATCH($E462,'Orders &amp; Payments'!$J$2:$J$500,0)),"")</f>
        <v/>
      </c>
      <c r="B462" t="str">
        <f>IFERROR(INDEX('Orders &amp; Payments'!$B$2:$B$500,MATCH($E462,'Orders &amp; Payments'!$J$2:$J$500,0)),"")</f>
        <v/>
      </c>
      <c r="C462" t="str">
        <f>IFERROR(INDEX('Orders &amp; Payments'!$I$2:$I$500,MATCH($E462,'Orders &amp; Payments'!$J$2:$J$500,0)),"")</f>
        <v/>
      </c>
      <c r="D462" t="str">
        <f>IFERROR(INDEX('Orders &amp; Payments'!$H$2:$H$500,MATCH($E462,'Orders &amp; Payments'!$J$2:$J$500,0)),"")</f>
        <v/>
      </c>
      <c r="E462" s="1"/>
      <c r="F462" s="1"/>
      <c r="G462" s="1"/>
      <c r="H462" s="1"/>
    </row>
    <row r="463" spans="1:8" x14ac:dyDescent="0.25">
      <c r="A463" t="str">
        <f>IFERROR(INDEX('Orders &amp; Payments'!$A$2:$A$500,MATCH($E463,'Orders &amp; Payments'!$J$2:$J$500,0)),"")</f>
        <v/>
      </c>
      <c r="B463" t="str">
        <f>IFERROR(INDEX('Orders &amp; Payments'!$B$2:$B$500,MATCH($E463,'Orders &amp; Payments'!$J$2:$J$500,0)),"")</f>
        <v/>
      </c>
      <c r="C463" t="str">
        <f>IFERROR(INDEX('Orders &amp; Payments'!$I$2:$I$500,MATCH($E463,'Orders &amp; Payments'!$J$2:$J$500,0)),"")</f>
        <v/>
      </c>
      <c r="D463" t="str">
        <f>IFERROR(INDEX('Orders &amp; Payments'!$H$2:$H$500,MATCH($E463,'Orders &amp; Payments'!$J$2:$J$500,0)),"")</f>
        <v/>
      </c>
      <c r="E463" s="1"/>
      <c r="F463" s="1"/>
      <c r="G463" s="1"/>
      <c r="H463" s="1"/>
    </row>
    <row r="464" spans="1:8" x14ac:dyDescent="0.25">
      <c r="A464" t="str">
        <f>IFERROR(INDEX('Orders &amp; Payments'!$A$2:$A$500,MATCH($E464,'Orders &amp; Payments'!$J$2:$J$500,0)),"")</f>
        <v/>
      </c>
      <c r="B464" t="str">
        <f>IFERROR(INDEX('Orders &amp; Payments'!$B$2:$B$500,MATCH($E464,'Orders &amp; Payments'!$J$2:$J$500,0)),"")</f>
        <v/>
      </c>
      <c r="C464" t="str">
        <f>IFERROR(INDEX('Orders &amp; Payments'!$I$2:$I$500,MATCH($E464,'Orders &amp; Payments'!$J$2:$J$500,0)),"")</f>
        <v/>
      </c>
      <c r="D464" t="str">
        <f>IFERROR(INDEX('Orders &amp; Payments'!$H$2:$H$500,MATCH($E464,'Orders &amp; Payments'!$J$2:$J$500,0)),"")</f>
        <v/>
      </c>
      <c r="E464" s="1"/>
      <c r="F464" s="1"/>
      <c r="G464" s="1"/>
      <c r="H464" s="1"/>
    </row>
    <row r="465" spans="1:8" x14ac:dyDescent="0.25">
      <c r="A465" t="str">
        <f>IFERROR(INDEX('Orders &amp; Payments'!$A$2:$A$500,MATCH($E465,'Orders &amp; Payments'!$J$2:$J$500,0)),"")</f>
        <v/>
      </c>
      <c r="B465" t="str">
        <f>IFERROR(INDEX('Orders &amp; Payments'!$B$2:$B$500,MATCH($E465,'Orders &amp; Payments'!$J$2:$J$500,0)),"")</f>
        <v/>
      </c>
      <c r="C465" t="str">
        <f>IFERROR(INDEX('Orders &amp; Payments'!$I$2:$I$500,MATCH($E465,'Orders &amp; Payments'!$J$2:$J$500,0)),"")</f>
        <v/>
      </c>
      <c r="D465" t="str">
        <f>IFERROR(INDEX('Orders &amp; Payments'!$H$2:$H$500,MATCH($E465,'Orders &amp; Payments'!$J$2:$J$500,0)),"")</f>
        <v/>
      </c>
      <c r="E465" s="1"/>
      <c r="F465" s="1"/>
      <c r="G465" s="1"/>
      <c r="H465" s="1"/>
    </row>
    <row r="466" spans="1:8" x14ac:dyDescent="0.25">
      <c r="A466" t="str">
        <f>IFERROR(INDEX('Orders &amp; Payments'!$A$2:$A$500,MATCH($E466,'Orders &amp; Payments'!$J$2:$J$500,0)),"")</f>
        <v/>
      </c>
      <c r="B466" t="str">
        <f>IFERROR(INDEX('Orders &amp; Payments'!$B$2:$B$500,MATCH($E466,'Orders &amp; Payments'!$J$2:$J$500,0)),"")</f>
        <v/>
      </c>
      <c r="C466" t="str">
        <f>IFERROR(INDEX('Orders &amp; Payments'!$I$2:$I$500,MATCH($E466,'Orders &amp; Payments'!$J$2:$J$500,0)),"")</f>
        <v/>
      </c>
      <c r="D466" t="str">
        <f>IFERROR(INDEX('Orders &amp; Payments'!$H$2:$H$500,MATCH($E466,'Orders &amp; Payments'!$J$2:$J$500,0)),"")</f>
        <v/>
      </c>
      <c r="E466" s="1"/>
      <c r="F466" s="1"/>
      <c r="G466" s="1"/>
      <c r="H466" s="1"/>
    </row>
    <row r="467" spans="1:8" x14ac:dyDescent="0.25">
      <c r="A467" t="str">
        <f>IFERROR(INDEX('Orders &amp; Payments'!$A$2:$A$500,MATCH($E467,'Orders &amp; Payments'!$J$2:$J$500,0)),"")</f>
        <v/>
      </c>
      <c r="B467" t="str">
        <f>IFERROR(INDEX('Orders &amp; Payments'!$B$2:$B$500,MATCH($E467,'Orders &amp; Payments'!$J$2:$J$500,0)),"")</f>
        <v/>
      </c>
      <c r="C467" t="str">
        <f>IFERROR(INDEX('Orders &amp; Payments'!$I$2:$I$500,MATCH($E467,'Orders &amp; Payments'!$J$2:$J$500,0)),"")</f>
        <v/>
      </c>
      <c r="D467" t="str">
        <f>IFERROR(INDEX('Orders &amp; Payments'!$H$2:$H$500,MATCH($E467,'Orders &amp; Payments'!$J$2:$J$500,0)),"")</f>
        <v/>
      </c>
      <c r="E467" s="1"/>
      <c r="F467" s="1"/>
      <c r="G467" s="1"/>
      <c r="H467" s="1"/>
    </row>
    <row r="468" spans="1:8" x14ac:dyDescent="0.25">
      <c r="A468" t="str">
        <f>IFERROR(INDEX('Orders &amp; Payments'!$A$2:$A$500,MATCH($E468,'Orders &amp; Payments'!$J$2:$J$500,0)),"")</f>
        <v/>
      </c>
      <c r="B468" t="str">
        <f>IFERROR(INDEX('Orders &amp; Payments'!$B$2:$B$500,MATCH($E468,'Orders &amp; Payments'!$J$2:$J$500,0)),"")</f>
        <v/>
      </c>
      <c r="C468" t="str">
        <f>IFERROR(INDEX('Orders &amp; Payments'!$I$2:$I$500,MATCH($E468,'Orders &amp; Payments'!$J$2:$J$500,0)),"")</f>
        <v/>
      </c>
      <c r="D468" t="str">
        <f>IFERROR(INDEX('Orders &amp; Payments'!$H$2:$H$500,MATCH($E468,'Orders &amp; Payments'!$J$2:$J$500,0)),"")</f>
        <v/>
      </c>
      <c r="E468" s="1"/>
      <c r="F468" s="1"/>
      <c r="G468" s="1"/>
      <c r="H468" s="1"/>
    </row>
    <row r="469" spans="1:8" x14ac:dyDescent="0.25">
      <c r="A469" t="str">
        <f>IFERROR(INDEX('Orders &amp; Payments'!$A$2:$A$500,MATCH($E469,'Orders &amp; Payments'!$J$2:$J$500,0)),"")</f>
        <v/>
      </c>
      <c r="B469" t="str">
        <f>IFERROR(INDEX('Orders &amp; Payments'!$B$2:$B$500,MATCH($E469,'Orders &amp; Payments'!$J$2:$J$500,0)),"")</f>
        <v/>
      </c>
      <c r="C469" t="str">
        <f>IFERROR(INDEX('Orders &amp; Payments'!$I$2:$I$500,MATCH($E469,'Orders &amp; Payments'!$J$2:$J$500,0)),"")</f>
        <v/>
      </c>
      <c r="D469" t="str">
        <f>IFERROR(INDEX('Orders &amp; Payments'!$H$2:$H$500,MATCH($E469,'Orders &amp; Payments'!$J$2:$J$500,0)),"")</f>
        <v/>
      </c>
      <c r="E469" s="1"/>
      <c r="F469" s="1"/>
      <c r="G469" s="1"/>
      <c r="H469" s="1"/>
    </row>
    <row r="470" spans="1:8" x14ac:dyDescent="0.25">
      <c r="A470" t="str">
        <f>IFERROR(INDEX('Orders &amp; Payments'!$A$2:$A$500,MATCH($E470,'Orders &amp; Payments'!$J$2:$J$500,0)),"")</f>
        <v/>
      </c>
      <c r="B470" t="str">
        <f>IFERROR(INDEX('Orders &amp; Payments'!$B$2:$B$500,MATCH($E470,'Orders &amp; Payments'!$J$2:$J$500,0)),"")</f>
        <v/>
      </c>
      <c r="C470" t="str">
        <f>IFERROR(INDEX('Orders &amp; Payments'!$I$2:$I$500,MATCH($E470,'Orders &amp; Payments'!$J$2:$J$500,0)),"")</f>
        <v/>
      </c>
      <c r="D470" t="str">
        <f>IFERROR(INDEX('Orders &amp; Payments'!$H$2:$H$500,MATCH($E470,'Orders &amp; Payments'!$J$2:$J$500,0)),"")</f>
        <v/>
      </c>
      <c r="E470" s="1"/>
      <c r="F470" s="1"/>
      <c r="G470" s="1"/>
      <c r="H470" s="1"/>
    </row>
    <row r="471" spans="1:8" x14ac:dyDescent="0.25">
      <c r="A471" t="str">
        <f>IFERROR(INDEX('Orders &amp; Payments'!$A$2:$A$500,MATCH($E471,'Orders &amp; Payments'!$J$2:$J$500,0)),"")</f>
        <v/>
      </c>
      <c r="B471" t="str">
        <f>IFERROR(INDEX('Orders &amp; Payments'!$B$2:$B$500,MATCH($E471,'Orders &amp; Payments'!$J$2:$J$500,0)),"")</f>
        <v/>
      </c>
      <c r="C471" t="str">
        <f>IFERROR(INDEX('Orders &amp; Payments'!$I$2:$I$500,MATCH($E471,'Orders &amp; Payments'!$J$2:$J$500,0)),"")</f>
        <v/>
      </c>
      <c r="D471" t="str">
        <f>IFERROR(INDEX('Orders &amp; Payments'!$H$2:$H$500,MATCH($E471,'Orders &amp; Payments'!$J$2:$J$500,0)),"")</f>
        <v/>
      </c>
      <c r="E471" s="1"/>
      <c r="F471" s="1"/>
      <c r="G471" s="1"/>
      <c r="H471" s="1"/>
    </row>
    <row r="472" spans="1:8" x14ac:dyDescent="0.25">
      <c r="A472" t="str">
        <f>IFERROR(INDEX('Orders &amp; Payments'!$A$2:$A$500,MATCH($E472,'Orders &amp; Payments'!$J$2:$J$500,0)),"")</f>
        <v/>
      </c>
      <c r="B472" t="str">
        <f>IFERROR(INDEX('Orders &amp; Payments'!$B$2:$B$500,MATCH($E472,'Orders &amp; Payments'!$J$2:$J$500,0)),"")</f>
        <v/>
      </c>
      <c r="C472" t="str">
        <f>IFERROR(INDEX('Orders &amp; Payments'!$I$2:$I$500,MATCH($E472,'Orders &amp; Payments'!$J$2:$J$500,0)),"")</f>
        <v/>
      </c>
      <c r="D472" t="str">
        <f>IFERROR(INDEX('Orders &amp; Payments'!$H$2:$H$500,MATCH($E472,'Orders &amp; Payments'!$J$2:$J$500,0)),"")</f>
        <v/>
      </c>
      <c r="E472" s="1"/>
      <c r="F472" s="1"/>
      <c r="G472" s="1"/>
      <c r="H472" s="1"/>
    </row>
    <row r="473" spans="1:8" x14ac:dyDescent="0.25">
      <c r="A473" t="str">
        <f>IFERROR(INDEX('Orders &amp; Payments'!$A$2:$A$500,MATCH($E473,'Orders &amp; Payments'!$J$2:$J$500,0)),"")</f>
        <v/>
      </c>
      <c r="B473" t="str">
        <f>IFERROR(INDEX('Orders &amp; Payments'!$B$2:$B$500,MATCH($E473,'Orders &amp; Payments'!$J$2:$J$500,0)),"")</f>
        <v/>
      </c>
      <c r="C473" t="str">
        <f>IFERROR(INDEX('Orders &amp; Payments'!$I$2:$I$500,MATCH($E473,'Orders &amp; Payments'!$J$2:$J$500,0)),"")</f>
        <v/>
      </c>
      <c r="D473" t="str">
        <f>IFERROR(INDEX('Orders &amp; Payments'!$H$2:$H$500,MATCH($E473,'Orders &amp; Payments'!$J$2:$J$500,0)),"")</f>
        <v/>
      </c>
      <c r="E473" s="1"/>
      <c r="F473" s="1"/>
      <c r="G473" s="1"/>
      <c r="H473" s="1"/>
    </row>
    <row r="474" spans="1:8" x14ac:dyDescent="0.25">
      <c r="A474" t="str">
        <f>IFERROR(INDEX('Orders &amp; Payments'!$A$2:$A$500,MATCH($E474,'Orders &amp; Payments'!$J$2:$J$500,0)),"")</f>
        <v/>
      </c>
      <c r="B474" t="str">
        <f>IFERROR(INDEX('Orders &amp; Payments'!$B$2:$B$500,MATCH($E474,'Orders &amp; Payments'!$J$2:$J$500,0)),"")</f>
        <v/>
      </c>
      <c r="C474" t="str">
        <f>IFERROR(INDEX('Orders &amp; Payments'!$I$2:$I$500,MATCH($E474,'Orders &amp; Payments'!$J$2:$J$500,0)),"")</f>
        <v/>
      </c>
      <c r="D474" t="str">
        <f>IFERROR(INDEX('Orders &amp; Payments'!$H$2:$H$500,MATCH($E474,'Orders &amp; Payments'!$J$2:$J$500,0)),"")</f>
        <v/>
      </c>
      <c r="E474" s="1"/>
      <c r="F474" s="1"/>
      <c r="G474" s="1"/>
      <c r="H474" s="1"/>
    </row>
    <row r="475" spans="1:8" x14ac:dyDescent="0.25">
      <c r="A475" t="str">
        <f>IFERROR(INDEX('Orders &amp; Payments'!$A$2:$A$500,MATCH($E475,'Orders &amp; Payments'!$J$2:$J$500,0)),"")</f>
        <v/>
      </c>
      <c r="B475" t="str">
        <f>IFERROR(INDEX('Orders &amp; Payments'!$B$2:$B$500,MATCH($E475,'Orders &amp; Payments'!$J$2:$J$500,0)),"")</f>
        <v/>
      </c>
      <c r="C475" t="str">
        <f>IFERROR(INDEX('Orders &amp; Payments'!$I$2:$I$500,MATCH($E475,'Orders &amp; Payments'!$J$2:$J$500,0)),"")</f>
        <v/>
      </c>
      <c r="D475" t="str">
        <f>IFERROR(INDEX('Orders &amp; Payments'!$H$2:$H$500,MATCH($E475,'Orders &amp; Payments'!$J$2:$J$500,0)),"")</f>
        <v/>
      </c>
      <c r="E475" s="1"/>
      <c r="F475" s="1"/>
      <c r="G475" s="1"/>
      <c r="H475" s="1"/>
    </row>
    <row r="476" spans="1:8" x14ac:dyDescent="0.25">
      <c r="A476" t="str">
        <f>IFERROR(INDEX('Orders &amp; Payments'!$A$2:$A$500,MATCH($E476,'Orders &amp; Payments'!$J$2:$J$500,0)),"")</f>
        <v/>
      </c>
      <c r="B476" t="str">
        <f>IFERROR(INDEX('Orders &amp; Payments'!$B$2:$B$500,MATCH($E476,'Orders &amp; Payments'!$J$2:$J$500,0)),"")</f>
        <v/>
      </c>
      <c r="C476" t="str">
        <f>IFERROR(INDEX('Orders &amp; Payments'!$I$2:$I$500,MATCH($E476,'Orders &amp; Payments'!$J$2:$J$500,0)),"")</f>
        <v/>
      </c>
      <c r="D476" t="str">
        <f>IFERROR(INDEX('Orders &amp; Payments'!$H$2:$H$500,MATCH($E476,'Orders &amp; Payments'!$J$2:$J$500,0)),"")</f>
        <v/>
      </c>
      <c r="E476" s="1"/>
      <c r="F476" s="1"/>
      <c r="G476" s="1"/>
      <c r="H476" s="1"/>
    </row>
    <row r="477" spans="1:8" x14ac:dyDescent="0.25">
      <c r="A477" t="str">
        <f>IFERROR(INDEX('Orders &amp; Payments'!$A$2:$A$500,MATCH($E477,'Orders &amp; Payments'!$J$2:$J$500,0)),"")</f>
        <v/>
      </c>
      <c r="B477" t="str">
        <f>IFERROR(INDEX('Orders &amp; Payments'!$B$2:$B$500,MATCH($E477,'Orders &amp; Payments'!$J$2:$J$500,0)),"")</f>
        <v/>
      </c>
      <c r="C477" t="str">
        <f>IFERROR(INDEX('Orders &amp; Payments'!$I$2:$I$500,MATCH($E477,'Orders &amp; Payments'!$J$2:$J$500,0)),"")</f>
        <v/>
      </c>
      <c r="D477" t="str">
        <f>IFERROR(INDEX('Orders &amp; Payments'!$H$2:$H$500,MATCH($E477,'Orders &amp; Payments'!$J$2:$J$500,0)),"")</f>
        <v/>
      </c>
      <c r="E477" s="1"/>
      <c r="F477" s="1"/>
      <c r="G477" s="1"/>
      <c r="H477" s="1"/>
    </row>
    <row r="478" spans="1:8" x14ac:dyDescent="0.25">
      <c r="A478" t="str">
        <f>IFERROR(INDEX('Orders &amp; Payments'!$A$2:$A$500,MATCH($E478,'Orders &amp; Payments'!$J$2:$J$500,0)),"")</f>
        <v/>
      </c>
      <c r="B478" t="str">
        <f>IFERROR(INDEX('Orders &amp; Payments'!$B$2:$B$500,MATCH($E478,'Orders &amp; Payments'!$J$2:$J$500,0)),"")</f>
        <v/>
      </c>
      <c r="C478" t="str">
        <f>IFERROR(INDEX('Orders &amp; Payments'!$I$2:$I$500,MATCH($E478,'Orders &amp; Payments'!$J$2:$J$500,0)),"")</f>
        <v/>
      </c>
      <c r="D478" t="str">
        <f>IFERROR(INDEX('Orders &amp; Payments'!$H$2:$H$500,MATCH($E478,'Orders &amp; Payments'!$J$2:$J$500,0)),"")</f>
        <v/>
      </c>
      <c r="E478" s="1"/>
      <c r="F478" s="1"/>
      <c r="G478" s="1"/>
      <c r="H478" s="1"/>
    </row>
    <row r="479" spans="1:8" x14ac:dyDescent="0.25">
      <c r="A479" t="str">
        <f>IFERROR(INDEX('Orders &amp; Payments'!$A$2:$A$500,MATCH($E479,'Orders &amp; Payments'!$J$2:$J$500,0)),"")</f>
        <v/>
      </c>
      <c r="B479" t="str">
        <f>IFERROR(INDEX('Orders &amp; Payments'!$B$2:$B$500,MATCH($E479,'Orders &amp; Payments'!$J$2:$J$500,0)),"")</f>
        <v/>
      </c>
      <c r="C479" t="str">
        <f>IFERROR(INDEX('Orders &amp; Payments'!$I$2:$I$500,MATCH($E479,'Orders &amp; Payments'!$J$2:$J$500,0)),"")</f>
        <v/>
      </c>
      <c r="D479" t="str">
        <f>IFERROR(INDEX('Orders &amp; Payments'!$H$2:$H$500,MATCH($E479,'Orders &amp; Payments'!$J$2:$J$500,0)),"")</f>
        <v/>
      </c>
      <c r="E479" s="1"/>
      <c r="F479" s="1"/>
      <c r="G479" s="1"/>
      <c r="H479" s="1"/>
    </row>
    <row r="480" spans="1:8" x14ac:dyDescent="0.25">
      <c r="A480" t="str">
        <f>IFERROR(INDEX('Orders &amp; Payments'!$A$2:$A$500,MATCH($E480,'Orders &amp; Payments'!$J$2:$J$500,0)),"")</f>
        <v/>
      </c>
      <c r="B480" t="str">
        <f>IFERROR(INDEX('Orders &amp; Payments'!$B$2:$B$500,MATCH($E480,'Orders &amp; Payments'!$J$2:$J$500,0)),"")</f>
        <v/>
      </c>
      <c r="C480" t="str">
        <f>IFERROR(INDEX('Orders &amp; Payments'!$I$2:$I$500,MATCH($E480,'Orders &amp; Payments'!$J$2:$J$500,0)),"")</f>
        <v/>
      </c>
      <c r="D480" t="str">
        <f>IFERROR(INDEX('Orders &amp; Payments'!$H$2:$H$500,MATCH($E480,'Orders &amp; Payments'!$J$2:$J$500,0)),"")</f>
        <v/>
      </c>
      <c r="E480" s="1"/>
      <c r="F480" s="1"/>
      <c r="G480" s="1"/>
      <c r="H480" s="1"/>
    </row>
    <row r="481" spans="1:8" x14ac:dyDescent="0.25">
      <c r="A481" t="str">
        <f>IFERROR(INDEX('Orders &amp; Payments'!$A$2:$A$500,MATCH($E481,'Orders &amp; Payments'!$J$2:$J$500,0)),"")</f>
        <v/>
      </c>
      <c r="B481" t="str">
        <f>IFERROR(INDEX('Orders &amp; Payments'!$B$2:$B$500,MATCH($E481,'Orders &amp; Payments'!$J$2:$J$500,0)),"")</f>
        <v/>
      </c>
      <c r="C481" t="str">
        <f>IFERROR(INDEX('Orders &amp; Payments'!$I$2:$I$500,MATCH($E481,'Orders &amp; Payments'!$J$2:$J$500,0)),"")</f>
        <v/>
      </c>
      <c r="D481" t="str">
        <f>IFERROR(INDEX('Orders &amp; Payments'!$H$2:$H$500,MATCH($E481,'Orders &amp; Payments'!$J$2:$J$500,0)),"")</f>
        <v/>
      </c>
      <c r="E481" s="1"/>
      <c r="F481" s="1"/>
      <c r="G481" s="1"/>
      <c r="H481" s="1"/>
    </row>
    <row r="482" spans="1:8" x14ac:dyDescent="0.25">
      <c r="A482" t="str">
        <f>IFERROR(INDEX('Orders &amp; Payments'!$A$2:$A$500,MATCH($E482,'Orders &amp; Payments'!$J$2:$J$500,0)),"")</f>
        <v/>
      </c>
      <c r="B482" t="str">
        <f>IFERROR(INDEX('Orders &amp; Payments'!$B$2:$B$500,MATCH($E482,'Orders &amp; Payments'!$J$2:$J$500,0)),"")</f>
        <v/>
      </c>
      <c r="C482" t="str">
        <f>IFERROR(INDEX('Orders &amp; Payments'!$I$2:$I$500,MATCH($E482,'Orders &amp; Payments'!$J$2:$J$500,0)),"")</f>
        <v/>
      </c>
      <c r="D482" t="str">
        <f>IFERROR(INDEX('Orders &amp; Payments'!$H$2:$H$500,MATCH($E482,'Orders &amp; Payments'!$J$2:$J$500,0)),"")</f>
        <v/>
      </c>
      <c r="E482" s="1"/>
      <c r="F482" s="1"/>
      <c r="G482" s="1"/>
      <c r="H482" s="1"/>
    </row>
    <row r="483" spans="1:8" x14ac:dyDescent="0.25">
      <c r="A483" t="str">
        <f>IFERROR(INDEX('Orders &amp; Payments'!$A$2:$A$500,MATCH($E483,'Orders &amp; Payments'!$J$2:$J$500,0)),"")</f>
        <v/>
      </c>
      <c r="B483" t="str">
        <f>IFERROR(INDEX('Orders &amp; Payments'!$B$2:$B$500,MATCH($E483,'Orders &amp; Payments'!$J$2:$J$500,0)),"")</f>
        <v/>
      </c>
      <c r="C483" t="str">
        <f>IFERROR(INDEX('Orders &amp; Payments'!$I$2:$I$500,MATCH($E483,'Orders &amp; Payments'!$J$2:$J$500,0)),"")</f>
        <v/>
      </c>
      <c r="D483" t="str">
        <f>IFERROR(INDEX('Orders &amp; Payments'!$H$2:$H$500,MATCH($E483,'Orders &amp; Payments'!$J$2:$J$500,0)),"")</f>
        <v/>
      </c>
      <c r="E483" s="1"/>
      <c r="F483" s="1"/>
      <c r="G483" s="1"/>
      <c r="H483" s="1"/>
    </row>
    <row r="484" spans="1:8" x14ac:dyDescent="0.25">
      <c r="A484" t="str">
        <f>IFERROR(INDEX('Orders &amp; Payments'!$A$2:$A$500,MATCH($E484,'Orders &amp; Payments'!$J$2:$J$500,0)),"")</f>
        <v/>
      </c>
      <c r="B484" t="str">
        <f>IFERROR(INDEX('Orders &amp; Payments'!$B$2:$B$500,MATCH($E484,'Orders &amp; Payments'!$J$2:$J$500,0)),"")</f>
        <v/>
      </c>
      <c r="C484" t="str">
        <f>IFERROR(INDEX('Orders &amp; Payments'!$I$2:$I$500,MATCH($E484,'Orders &amp; Payments'!$J$2:$J$500,0)),"")</f>
        <v/>
      </c>
      <c r="D484" t="str">
        <f>IFERROR(INDEX('Orders &amp; Payments'!$H$2:$H$500,MATCH($E484,'Orders &amp; Payments'!$J$2:$J$500,0)),"")</f>
        <v/>
      </c>
      <c r="E484" s="1"/>
      <c r="F484" s="1"/>
      <c r="G484" s="1"/>
      <c r="H484" s="1"/>
    </row>
    <row r="485" spans="1:8" x14ac:dyDescent="0.25">
      <c r="A485" t="str">
        <f>IFERROR(INDEX('Orders &amp; Payments'!$A$2:$A$500,MATCH($E485,'Orders &amp; Payments'!$J$2:$J$500,0)),"")</f>
        <v/>
      </c>
      <c r="B485" t="str">
        <f>IFERROR(INDEX('Orders &amp; Payments'!$B$2:$B$500,MATCH($E485,'Orders &amp; Payments'!$J$2:$J$500,0)),"")</f>
        <v/>
      </c>
      <c r="C485" t="str">
        <f>IFERROR(INDEX('Orders &amp; Payments'!$I$2:$I$500,MATCH($E485,'Orders &amp; Payments'!$J$2:$J$500,0)),"")</f>
        <v/>
      </c>
      <c r="D485" t="str">
        <f>IFERROR(INDEX('Orders &amp; Payments'!$H$2:$H$500,MATCH($E485,'Orders &amp; Payments'!$J$2:$J$500,0)),"")</f>
        <v/>
      </c>
      <c r="E485" s="1"/>
      <c r="F485" s="1"/>
      <c r="G485" s="1"/>
      <c r="H485" s="1"/>
    </row>
    <row r="486" spans="1:8" x14ac:dyDescent="0.25">
      <c r="A486" t="str">
        <f>IFERROR(INDEX('Orders &amp; Payments'!$A$2:$A$500,MATCH($E486,'Orders &amp; Payments'!$J$2:$J$500,0)),"")</f>
        <v/>
      </c>
      <c r="B486" t="str">
        <f>IFERROR(INDEX('Orders &amp; Payments'!$B$2:$B$500,MATCH($E486,'Orders &amp; Payments'!$J$2:$J$500,0)),"")</f>
        <v/>
      </c>
      <c r="C486" t="str">
        <f>IFERROR(INDEX('Orders &amp; Payments'!$I$2:$I$500,MATCH($E486,'Orders &amp; Payments'!$J$2:$J$500,0)),"")</f>
        <v/>
      </c>
      <c r="D486" t="str">
        <f>IFERROR(INDEX('Orders &amp; Payments'!$H$2:$H$500,MATCH($E486,'Orders &amp; Payments'!$J$2:$J$500,0)),"")</f>
        <v/>
      </c>
      <c r="E486" s="1"/>
      <c r="F486" s="1"/>
      <c r="G486" s="1"/>
      <c r="H486" s="1"/>
    </row>
    <row r="487" spans="1:8" x14ac:dyDescent="0.25">
      <c r="A487" t="str">
        <f>IFERROR(INDEX('Orders &amp; Payments'!$A$2:$A$500,MATCH($E487,'Orders &amp; Payments'!$J$2:$J$500,0)),"")</f>
        <v/>
      </c>
      <c r="B487" t="str">
        <f>IFERROR(INDEX('Orders &amp; Payments'!$B$2:$B$500,MATCH($E487,'Orders &amp; Payments'!$J$2:$J$500,0)),"")</f>
        <v/>
      </c>
      <c r="C487" t="str">
        <f>IFERROR(INDEX('Orders &amp; Payments'!$I$2:$I$500,MATCH($E487,'Orders &amp; Payments'!$J$2:$J$500,0)),"")</f>
        <v/>
      </c>
      <c r="D487" t="str">
        <f>IFERROR(INDEX('Orders &amp; Payments'!$H$2:$H$500,MATCH($E487,'Orders &amp; Payments'!$J$2:$J$500,0)),"")</f>
        <v/>
      </c>
      <c r="E487" s="1"/>
      <c r="F487" s="1"/>
      <c r="G487" s="1"/>
      <c r="H487" s="1"/>
    </row>
    <row r="488" spans="1:8" x14ac:dyDescent="0.25">
      <c r="A488" t="str">
        <f>IFERROR(INDEX('Orders &amp; Payments'!$A$2:$A$500,MATCH($E488,'Orders &amp; Payments'!$J$2:$J$500,0)),"")</f>
        <v/>
      </c>
      <c r="B488" t="str">
        <f>IFERROR(INDEX('Orders &amp; Payments'!$B$2:$B$500,MATCH($E488,'Orders &amp; Payments'!$J$2:$J$500,0)),"")</f>
        <v/>
      </c>
      <c r="C488" t="str">
        <f>IFERROR(INDEX('Orders &amp; Payments'!$I$2:$I$500,MATCH($E488,'Orders &amp; Payments'!$J$2:$J$500,0)),"")</f>
        <v/>
      </c>
      <c r="D488" t="str">
        <f>IFERROR(INDEX('Orders &amp; Payments'!$H$2:$H$500,MATCH($E488,'Orders &amp; Payments'!$J$2:$J$500,0)),"")</f>
        <v/>
      </c>
      <c r="E488" s="1"/>
      <c r="F488" s="1"/>
      <c r="G488" s="1"/>
      <c r="H488" s="1"/>
    </row>
    <row r="489" spans="1:8" x14ac:dyDescent="0.25">
      <c r="A489" t="str">
        <f>IFERROR(INDEX('Orders &amp; Payments'!$A$2:$A$500,MATCH($E489,'Orders &amp; Payments'!$J$2:$J$500,0)),"")</f>
        <v/>
      </c>
      <c r="B489" t="str">
        <f>IFERROR(INDEX('Orders &amp; Payments'!$B$2:$B$500,MATCH($E489,'Orders &amp; Payments'!$J$2:$J$500,0)),"")</f>
        <v/>
      </c>
      <c r="C489" t="str">
        <f>IFERROR(INDEX('Orders &amp; Payments'!$I$2:$I$500,MATCH($E489,'Orders &amp; Payments'!$J$2:$J$500,0)),"")</f>
        <v/>
      </c>
      <c r="D489" t="str">
        <f>IFERROR(INDEX('Orders &amp; Payments'!$H$2:$H$500,MATCH($E489,'Orders &amp; Payments'!$J$2:$J$500,0)),"")</f>
        <v/>
      </c>
      <c r="E489" s="1"/>
      <c r="F489" s="1"/>
      <c r="G489" s="1"/>
      <c r="H489" s="1"/>
    </row>
    <row r="490" spans="1:8" x14ac:dyDescent="0.25">
      <c r="A490" t="str">
        <f>IFERROR(INDEX('Orders &amp; Payments'!$A$2:$A$500,MATCH($E490,'Orders &amp; Payments'!$J$2:$J$500,0)),"")</f>
        <v/>
      </c>
      <c r="B490" t="str">
        <f>IFERROR(INDEX('Orders &amp; Payments'!$B$2:$B$500,MATCH($E490,'Orders &amp; Payments'!$J$2:$J$500,0)),"")</f>
        <v/>
      </c>
      <c r="C490" t="str">
        <f>IFERROR(INDEX('Orders &amp; Payments'!$I$2:$I$500,MATCH($E490,'Orders &amp; Payments'!$J$2:$J$500,0)),"")</f>
        <v/>
      </c>
      <c r="D490" t="str">
        <f>IFERROR(INDEX('Orders &amp; Payments'!$H$2:$H$500,MATCH($E490,'Orders &amp; Payments'!$J$2:$J$500,0)),"")</f>
        <v/>
      </c>
      <c r="E490" s="1"/>
      <c r="F490" s="1"/>
      <c r="G490" s="1"/>
      <c r="H490" s="1"/>
    </row>
    <row r="491" spans="1:8" x14ac:dyDescent="0.25">
      <c r="A491" t="str">
        <f>IFERROR(INDEX('Orders &amp; Payments'!$A$2:$A$500,MATCH($E491,'Orders &amp; Payments'!$J$2:$J$500,0)),"")</f>
        <v/>
      </c>
      <c r="B491" t="str">
        <f>IFERROR(INDEX('Orders &amp; Payments'!$B$2:$B$500,MATCH($E491,'Orders &amp; Payments'!$J$2:$J$500,0)),"")</f>
        <v/>
      </c>
      <c r="C491" t="str">
        <f>IFERROR(INDEX('Orders &amp; Payments'!$I$2:$I$500,MATCH($E491,'Orders &amp; Payments'!$J$2:$J$500,0)),"")</f>
        <v/>
      </c>
      <c r="D491" t="str">
        <f>IFERROR(INDEX('Orders &amp; Payments'!$H$2:$H$500,MATCH($E491,'Orders &amp; Payments'!$J$2:$J$500,0)),"")</f>
        <v/>
      </c>
      <c r="E491" s="1"/>
      <c r="F491" s="1"/>
      <c r="G491" s="1"/>
      <c r="H491" s="1"/>
    </row>
    <row r="492" spans="1:8" x14ac:dyDescent="0.25">
      <c r="A492" t="str">
        <f>IFERROR(INDEX('Orders &amp; Payments'!$A$2:$A$500,MATCH($E492,'Orders &amp; Payments'!$J$2:$J$500,0)),"")</f>
        <v/>
      </c>
      <c r="B492" t="str">
        <f>IFERROR(INDEX('Orders &amp; Payments'!$B$2:$B$500,MATCH($E492,'Orders &amp; Payments'!$J$2:$J$500,0)),"")</f>
        <v/>
      </c>
      <c r="C492" t="str">
        <f>IFERROR(INDEX('Orders &amp; Payments'!$I$2:$I$500,MATCH($E492,'Orders &amp; Payments'!$J$2:$J$500,0)),"")</f>
        <v/>
      </c>
      <c r="D492" t="str">
        <f>IFERROR(INDEX('Orders &amp; Payments'!$H$2:$H$500,MATCH($E492,'Orders &amp; Payments'!$J$2:$J$500,0)),"")</f>
        <v/>
      </c>
      <c r="E492" s="1"/>
      <c r="F492" s="1"/>
      <c r="G492" s="1"/>
      <c r="H492" s="1"/>
    </row>
    <row r="493" spans="1:8" x14ac:dyDescent="0.25">
      <c r="A493" t="str">
        <f>IFERROR(INDEX('Orders &amp; Payments'!$A$2:$A$500,MATCH($E493,'Orders &amp; Payments'!$J$2:$J$500,0)),"")</f>
        <v/>
      </c>
      <c r="B493" t="str">
        <f>IFERROR(INDEX('Orders &amp; Payments'!$B$2:$B$500,MATCH($E493,'Orders &amp; Payments'!$J$2:$J$500,0)),"")</f>
        <v/>
      </c>
      <c r="C493" t="str">
        <f>IFERROR(INDEX('Orders &amp; Payments'!$I$2:$I$500,MATCH($E493,'Orders &amp; Payments'!$J$2:$J$500,0)),"")</f>
        <v/>
      </c>
      <c r="D493" t="str">
        <f>IFERROR(INDEX('Orders &amp; Payments'!$H$2:$H$500,MATCH($E493,'Orders &amp; Payments'!$J$2:$J$500,0)),"")</f>
        <v/>
      </c>
      <c r="E493" s="1"/>
      <c r="F493" s="1"/>
      <c r="G493" s="1"/>
      <c r="H493" s="1"/>
    </row>
    <row r="494" spans="1:8" x14ac:dyDescent="0.25">
      <c r="A494" t="str">
        <f>IFERROR(INDEX('Orders &amp; Payments'!$A$2:$A$500,MATCH($E494,'Orders &amp; Payments'!$J$2:$J$500,0)),"")</f>
        <v/>
      </c>
      <c r="B494" t="str">
        <f>IFERROR(INDEX('Orders &amp; Payments'!$B$2:$B$500,MATCH($E494,'Orders &amp; Payments'!$J$2:$J$500,0)),"")</f>
        <v/>
      </c>
      <c r="C494" t="str">
        <f>IFERROR(INDEX('Orders &amp; Payments'!$I$2:$I$500,MATCH($E494,'Orders &amp; Payments'!$J$2:$J$500,0)),"")</f>
        <v/>
      </c>
      <c r="D494" t="str">
        <f>IFERROR(INDEX('Orders &amp; Payments'!$H$2:$H$500,MATCH($E494,'Orders &amp; Payments'!$J$2:$J$500,0)),"")</f>
        <v/>
      </c>
      <c r="E494" s="1"/>
      <c r="F494" s="1"/>
      <c r="G494" s="1"/>
      <c r="H494" s="1"/>
    </row>
    <row r="495" spans="1:8" x14ac:dyDescent="0.25">
      <c r="A495" t="str">
        <f>IFERROR(INDEX('Orders &amp; Payments'!$A$2:$A$500,MATCH($E495,'Orders &amp; Payments'!$J$2:$J$500,0)),"")</f>
        <v/>
      </c>
      <c r="B495" t="str">
        <f>IFERROR(INDEX('Orders &amp; Payments'!$B$2:$B$500,MATCH($E495,'Orders &amp; Payments'!$J$2:$J$500,0)),"")</f>
        <v/>
      </c>
      <c r="C495" t="str">
        <f>IFERROR(INDEX('Orders &amp; Payments'!$I$2:$I$500,MATCH($E495,'Orders &amp; Payments'!$J$2:$J$500,0)),"")</f>
        <v/>
      </c>
      <c r="D495" t="str">
        <f>IFERROR(INDEX('Orders &amp; Payments'!$H$2:$H$500,MATCH($E495,'Orders &amp; Payments'!$J$2:$J$500,0)),"")</f>
        <v/>
      </c>
      <c r="E495" s="1"/>
      <c r="F495" s="1"/>
      <c r="G495" s="1"/>
      <c r="H495" s="1"/>
    </row>
    <row r="496" spans="1:8" x14ac:dyDescent="0.25">
      <c r="A496" t="str">
        <f>IFERROR(INDEX('Orders &amp; Payments'!$A$2:$A$500,MATCH($E496,'Orders &amp; Payments'!$J$2:$J$500,0)),"")</f>
        <v/>
      </c>
      <c r="B496" t="str">
        <f>IFERROR(INDEX('Orders &amp; Payments'!$B$2:$B$500,MATCH($E496,'Orders &amp; Payments'!$J$2:$J$500,0)),"")</f>
        <v/>
      </c>
      <c r="C496" t="str">
        <f>IFERROR(INDEX('Orders &amp; Payments'!$I$2:$I$500,MATCH($E496,'Orders &amp; Payments'!$J$2:$J$500,0)),"")</f>
        <v/>
      </c>
      <c r="D496" t="str">
        <f>IFERROR(INDEX('Orders &amp; Payments'!$H$2:$H$500,MATCH($E496,'Orders &amp; Payments'!$J$2:$J$500,0)),"")</f>
        <v/>
      </c>
      <c r="E496" s="1"/>
      <c r="F496" s="1"/>
      <c r="G496" s="1"/>
      <c r="H496" s="1"/>
    </row>
    <row r="497" spans="1:8" x14ac:dyDescent="0.25">
      <c r="A497" t="str">
        <f>IFERROR(INDEX('Orders &amp; Payments'!$A$2:$A$500,MATCH($E497,'Orders &amp; Payments'!$J$2:$J$500,0)),"")</f>
        <v/>
      </c>
      <c r="B497" t="str">
        <f>IFERROR(INDEX('Orders &amp; Payments'!$B$2:$B$500,MATCH($E497,'Orders &amp; Payments'!$J$2:$J$500,0)),"")</f>
        <v/>
      </c>
      <c r="C497" t="str">
        <f>IFERROR(INDEX('Orders &amp; Payments'!$I$2:$I$500,MATCH($E497,'Orders &amp; Payments'!$J$2:$J$500,0)),"")</f>
        <v/>
      </c>
      <c r="D497" t="str">
        <f>IFERROR(INDEX('Orders &amp; Payments'!$H$2:$H$500,MATCH($E497,'Orders &amp; Payments'!$J$2:$J$500,0)),"")</f>
        <v/>
      </c>
      <c r="E497" s="1"/>
      <c r="F497" s="1"/>
      <c r="G497" s="1"/>
      <c r="H497" s="1"/>
    </row>
    <row r="498" spans="1:8" x14ac:dyDescent="0.25">
      <c r="A498" t="str">
        <f>IFERROR(INDEX('Orders &amp; Payments'!$A$2:$A$500,MATCH($E498,'Orders &amp; Payments'!$J$2:$J$500,0)),"")</f>
        <v/>
      </c>
      <c r="B498" t="str">
        <f>IFERROR(INDEX('Orders &amp; Payments'!$B$2:$B$500,MATCH($E498,'Orders &amp; Payments'!$J$2:$J$500,0)),"")</f>
        <v/>
      </c>
      <c r="C498" t="str">
        <f>IFERROR(INDEX('Orders &amp; Payments'!$I$2:$I$500,MATCH($E498,'Orders &amp; Payments'!$J$2:$J$500,0)),"")</f>
        <v/>
      </c>
      <c r="D498" t="str">
        <f>IFERROR(INDEX('Orders &amp; Payments'!$H$2:$H$500,MATCH($E498,'Orders &amp; Payments'!$J$2:$J$500,0)),"")</f>
        <v/>
      </c>
      <c r="E498" s="1"/>
      <c r="F498" s="1"/>
      <c r="G498" s="1"/>
      <c r="H498" s="1"/>
    </row>
    <row r="499" spans="1:8" x14ac:dyDescent="0.25">
      <c r="A499" t="str">
        <f>IFERROR(INDEX('Orders &amp; Payments'!$A$2:$A$500,MATCH($E499,'Orders &amp; Payments'!$J$2:$J$500,0)),"")</f>
        <v/>
      </c>
      <c r="B499" t="str">
        <f>IFERROR(INDEX('Orders &amp; Payments'!$B$2:$B$500,MATCH($E499,'Orders &amp; Payments'!$J$2:$J$500,0)),"")</f>
        <v/>
      </c>
      <c r="C499" t="str">
        <f>IFERROR(INDEX('Orders &amp; Payments'!$I$2:$I$500,MATCH($E499,'Orders &amp; Payments'!$J$2:$J$500,0)),"")</f>
        <v/>
      </c>
      <c r="D499" t="str">
        <f>IFERROR(INDEX('Orders &amp; Payments'!$H$2:$H$500,MATCH($E499,'Orders &amp; Payments'!$J$2:$J$500,0)),"")</f>
        <v/>
      </c>
      <c r="E499" s="1"/>
      <c r="F499" s="1"/>
      <c r="G499" s="1"/>
      <c r="H499" s="1"/>
    </row>
    <row r="500" spans="1:8" x14ac:dyDescent="0.25">
      <c r="A500" t="str">
        <f>IFERROR(INDEX('Orders &amp; Payments'!$A$2:$A$500,MATCH($E500,'Orders &amp; Payments'!$J$2:$J$500,0)),"")</f>
        <v/>
      </c>
      <c r="B500" t="str">
        <f>IFERROR(INDEX('Orders &amp; Payments'!$B$2:$B$500,MATCH($E500,'Orders &amp; Payments'!$J$2:$J$500,0)),"")</f>
        <v/>
      </c>
      <c r="C500" t="str">
        <f>IFERROR(INDEX('Orders &amp; Payments'!$I$2:$I$500,MATCH($E500,'Orders &amp; Payments'!$J$2:$J$500,0)),"")</f>
        <v/>
      </c>
      <c r="D500" t="str">
        <f>IFERROR(INDEX('Orders &amp; Payments'!$H$2:$H$500,MATCH($E500,'Orders &amp; Payments'!$J$2:$J$500,0)),"")</f>
        <v/>
      </c>
      <c r="E500" s="1"/>
      <c r="F500" s="1"/>
      <c r="G500" s="1"/>
      <c r="H500" s="1"/>
    </row>
    <row r="501" spans="1:8" x14ac:dyDescent="0.25">
      <c r="A501" t="str">
        <f>IFERROR(INDEX('Orders &amp; Payments'!$A$2:$A$500,MATCH($E501,'Orders &amp; Payments'!$J$2:$J$500,0)),"")</f>
        <v/>
      </c>
      <c r="B501" t="str">
        <f>IFERROR(INDEX('Orders &amp; Payments'!$B$2:$B$500,MATCH($E501,'Orders &amp; Payments'!$J$2:$J$500,0)),"")</f>
        <v/>
      </c>
      <c r="C501" t="str">
        <f>IFERROR(INDEX('Orders &amp; Payments'!$I$2:$I$500,MATCH($E501,'Orders &amp; Payments'!$J$2:$J$500,0)),"")</f>
        <v/>
      </c>
      <c r="D501" t="str">
        <f>IFERROR(INDEX('Orders &amp; Payments'!$H$2:$H$500,MATCH($E501,'Orders &amp; Payments'!$J$2:$J$500,0)),"")</f>
        <v/>
      </c>
      <c r="E501" s="1"/>
      <c r="F501" s="1"/>
      <c r="G501" s="1"/>
      <c r="H501" s="1"/>
    </row>
  </sheetData>
  <sheetProtection password="C66E" sheet="1"/>
  <dataValidations count="1">
    <dataValidation type="list" allowBlank="1" showInputMessage="1" showErrorMessage="1" sqref="G2:G500" xr:uid="{00000000-0002-0000-0600-000001000000}">
      <formula1>"Yes,No"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Reference_Lists!#REF!</xm:f>
          </x14:formula1>
          <xm:sqref>D2:D500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8"/>
  <sheetViews>
    <sheetView workbookViewId="0"/>
  </sheetViews>
  <sheetFormatPr defaultRowHeight="15" x14ac:dyDescent="0.25"/>
  <sheetData>
    <row r="1" spans="1:5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25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</row>
    <row r="3" spans="1:5" x14ac:dyDescent="0.2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</row>
    <row r="4" spans="1:5" x14ac:dyDescent="0.25">
      <c r="A4" s="1" t="s">
        <v>61</v>
      </c>
      <c r="B4" s="1" t="s">
        <v>62</v>
      </c>
      <c r="C4" s="1" t="s">
        <v>63</v>
      </c>
      <c r="D4" s="1" t="s">
        <v>64</v>
      </c>
      <c r="E4" s="1" t="s">
        <v>65</v>
      </c>
    </row>
    <row r="5" spans="1:5" x14ac:dyDescent="0.25">
      <c r="A5" s="1" t="s">
        <v>66</v>
      </c>
      <c r="B5" s="1" t="s">
        <v>67</v>
      </c>
      <c r="C5" s="1" t="s">
        <v>68</v>
      </c>
      <c r="D5" s="1" t="s">
        <v>69</v>
      </c>
      <c r="E5" s="1" t="s">
        <v>70</v>
      </c>
    </row>
    <row r="6" spans="1:5" x14ac:dyDescent="0.25">
      <c r="A6" s="1" t="s">
        <v>71</v>
      </c>
      <c r="B6" s="1" t="s">
        <v>72</v>
      </c>
      <c r="C6" s="1" t="s">
        <v>73</v>
      </c>
      <c r="D6" s="1" t="s">
        <v>74</v>
      </c>
      <c r="E6" s="1" t="s">
        <v>75</v>
      </c>
    </row>
    <row r="7" spans="1:5" x14ac:dyDescent="0.25">
      <c r="A7" s="1" t="s">
        <v>76</v>
      </c>
      <c r="B7" s="1" t="s">
        <v>68</v>
      </c>
      <c r="C7" s="1" t="s">
        <v>72</v>
      </c>
      <c r="D7" s="1"/>
      <c r="E7" s="1" t="s">
        <v>77</v>
      </c>
    </row>
    <row r="8" spans="1:5" x14ac:dyDescent="0.25">
      <c r="A8" s="1" t="s">
        <v>62</v>
      </c>
      <c r="B8" s="1" t="s">
        <v>78</v>
      </c>
      <c r="C8" s="1" t="s">
        <v>78</v>
      </c>
      <c r="D8" s="1"/>
      <c r="E8" s="1"/>
    </row>
    <row r="9" spans="1:5" x14ac:dyDescent="0.25">
      <c r="A9" s="1" t="s">
        <v>79</v>
      </c>
      <c r="B9" s="1" t="s">
        <v>80</v>
      </c>
      <c r="C9" s="1" t="s">
        <v>81</v>
      </c>
      <c r="D9" s="1"/>
      <c r="E9" s="1"/>
    </row>
    <row r="10" spans="1:5" x14ac:dyDescent="0.25">
      <c r="A10" s="1" t="s">
        <v>82</v>
      </c>
      <c r="B10" s="1" t="s">
        <v>83</v>
      </c>
      <c r="C10" s="1" t="s">
        <v>80</v>
      </c>
      <c r="D10" s="1"/>
      <c r="E10" s="1"/>
    </row>
    <row r="11" spans="1:5" x14ac:dyDescent="0.25">
      <c r="A11" s="1" t="s">
        <v>84</v>
      </c>
      <c r="B11" s="1" t="s">
        <v>58</v>
      </c>
      <c r="C11" s="1" t="s">
        <v>85</v>
      </c>
      <c r="D11" s="1"/>
      <c r="E11" s="1"/>
    </row>
    <row r="12" spans="1:5" x14ac:dyDescent="0.25">
      <c r="A12" s="1" t="s">
        <v>86</v>
      </c>
      <c r="B12" s="1" t="s">
        <v>87</v>
      </c>
      <c r="C12" s="1" t="s">
        <v>87</v>
      </c>
      <c r="D12" s="1"/>
      <c r="E12" s="1"/>
    </row>
    <row r="13" spans="1:5" x14ac:dyDescent="0.25">
      <c r="A13" s="1" t="s">
        <v>88</v>
      </c>
      <c r="B13" s="1" t="s">
        <v>63</v>
      </c>
      <c r="C13" s="1" t="s">
        <v>89</v>
      </c>
      <c r="D13" s="1"/>
      <c r="E13" s="1"/>
    </row>
    <row r="14" spans="1:5" x14ac:dyDescent="0.25">
      <c r="A14" s="1" t="s">
        <v>90</v>
      </c>
      <c r="B14" s="1" t="s">
        <v>89</v>
      </c>
      <c r="C14" s="1" t="s">
        <v>91</v>
      </c>
      <c r="D14" s="1"/>
      <c r="E14" s="1"/>
    </row>
    <row r="15" spans="1:5" x14ac:dyDescent="0.25">
      <c r="A15" s="1" t="s">
        <v>92</v>
      </c>
      <c r="B15" s="1" t="s">
        <v>91</v>
      </c>
      <c r="C15" s="1"/>
      <c r="D15" s="1"/>
      <c r="E15" s="1"/>
    </row>
    <row r="16" spans="1:5" x14ac:dyDescent="0.25">
      <c r="A16" s="1" t="s">
        <v>93</v>
      </c>
      <c r="B16" s="1" t="s">
        <v>94</v>
      </c>
      <c r="C16" s="1"/>
      <c r="D16" s="1"/>
      <c r="E16" s="1"/>
    </row>
    <row r="17" spans="1:5" x14ac:dyDescent="0.25">
      <c r="A17" s="1" t="s">
        <v>95</v>
      </c>
      <c r="B17" s="1" t="s">
        <v>96</v>
      </c>
      <c r="C17" s="1"/>
      <c r="D17" s="1"/>
      <c r="E17" s="1"/>
    </row>
    <row r="18" spans="1:5" x14ac:dyDescent="0.25">
      <c r="A18" s="1" t="s">
        <v>97</v>
      </c>
      <c r="B18" s="1" t="s">
        <v>98</v>
      </c>
      <c r="C18" s="1"/>
      <c r="D18" s="1"/>
      <c r="E18" s="1"/>
    </row>
    <row r="19" spans="1:5" x14ac:dyDescent="0.25">
      <c r="A19" s="1" t="s">
        <v>99</v>
      </c>
      <c r="B19" s="1" t="s">
        <v>100</v>
      </c>
      <c r="C19" s="1"/>
      <c r="D19" s="1"/>
      <c r="E19" s="1"/>
    </row>
    <row r="20" spans="1:5" x14ac:dyDescent="0.25">
      <c r="A20" s="1" t="s">
        <v>101</v>
      </c>
      <c r="B20" s="1" t="s">
        <v>102</v>
      </c>
      <c r="C20" s="1"/>
      <c r="D20" s="1"/>
      <c r="E20" s="1"/>
    </row>
    <row r="21" spans="1:5" x14ac:dyDescent="0.25">
      <c r="A21" s="1" t="s">
        <v>103</v>
      </c>
      <c r="B21" s="1" t="s">
        <v>104</v>
      </c>
      <c r="C21" s="1"/>
      <c r="D21" s="1"/>
      <c r="E21" s="1"/>
    </row>
    <row r="22" spans="1:5" x14ac:dyDescent="0.25">
      <c r="A22" s="1" t="s">
        <v>105</v>
      </c>
      <c r="B22" s="1"/>
      <c r="C22" s="1"/>
      <c r="D22" s="1"/>
      <c r="E22" s="1"/>
    </row>
    <row r="23" spans="1:5" x14ac:dyDescent="0.25">
      <c r="A23" s="1" t="s">
        <v>106</v>
      </c>
      <c r="B23" s="1"/>
      <c r="C23" s="1"/>
      <c r="D23" s="1"/>
      <c r="E23" s="1"/>
    </row>
    <row r="24" spans="1:5" x14ac:dyDescent="0.25">
      <c r="A24" s="1" t="s">
        <v>107</v>
      </c>
      <c r="B24" s="1"/>
      <c r="C24" s="1"/>
      <c r="D24" s="1"/>
      <c r="E24" s="1"/>
    </row>
    <row r="25" spans="1:5" x14ac:dyDescent="0.25">
      <c r="A25" s="1" t="s">
        <v>108</v>
      </c>
      <c r="B25" s="1"/>
      <c r="C25" s="1"/>
      <c r="D25" s="1"/>
      <c r="E25" s="1"/>
    </row>
    <row r="26" spans="1:5" x14ac:dyDescent="0.25">
      <c r="A26" s="1" t="s">
        <v>109</v>
      </c>
      <c r="B26" s="1"/>
      <c r="C26" s="1"/>
      <c r="D26" s="1"/>
      <c r="E26" s="1"/>
    </row>
    <row r="27" spans="1:5" x14ac:dyDescent="0.25">
      <c r="A27" s="1" t="s">
        <v>110</v>
      </c>
      <c r="B27" s="1"/>
      <c r="C27" s="1"/>
      <c r="D27" s="1"/>
      <c r="E27" s="1"/>
    </row>
    <row r="28" spans="1:5" x14ac:dyDescent="0.25">
      <c r="A28" s="1" t="s">
        <v>111</v>
      </c>
      <c r="B28" s="1"/>
      <c r="C28" s="1"/>
      <c r="D28" s="1"/>
      <c r="E28" s="1"/>
    </row>
    <row r="29" spans="1:5" x14ac:dyDescent="0.25">
      <c r="A29" s="1" t="s">
        <v>112</v>
      </c>
      <c r="B29" s="1"/>
      <c r="C29" s="1"/>
      <c r="D29" s="1"/>
      <c r="E29" s="1"/>
    </row>
    <row r="30" spans="1:5" x14ac:dyDescent="0.25">
      <c r="A30" s="1" t="s">
        <v>113</v>
      </c>
      <c r="B30" s="1"/>
      <c r="C30" s="1"/>
      <c r="D30" s="1"/>
      <c r="E30" s="1"/>
    </row>
    <row r="31" spans="1:5" x14ac:dyDescent="0.25">
      <c r="A31" s="1" t="s">
        <v>114</v>
      </c>
      <c r="B31" s="1"/>
      <c r="C31" s="1"/>
      <c r="D31" s="1"/>
      <c r="E31" s="1"/>
    </row>
    <row r="32" spans="1:5" x14ac:dyDescent="0.25">
      <c r="A32" s="1" t="s">
        <v>115</v>
      </c>
      <c r="B32" s="1"/>
      <c r="C32" s="1"/>
      <c r="D32" s="1"/>
      <c r="E32" s="1"/>
    </row>
    <row r="33" spans="1:5" x14ac:dyDescent="0.25">
      <c r="A33" s="1" t="s">
        <v>116</v>
      </c>
      <c r="B33" s="1"/>
      <c r="C33" s="1"/>
      <c r="D33" s="1"/>
      <c r="E33" s="1"/>
    </row>
    <row r="34" spans="1:5" x14ac:dyDescent="0.25">
      <c r="A34" s="1" t="s">
        <v>117</v>
      </c>
      <c r="B34" s="1"/>
      <c r="C34" s="1"/>
      <c r="D34" s="1"/>
      <c r="E34" s="1"/>
    </row>
    <row r="35" spans="1:5" x14ac:dyDescent="0.25">
      <c r="A35" s="1" t="s">
        <v>118</v>
      </c>
      <c r="B35" s="1"/>
      <c r="C35" s="1"/>
      <c r="D35" s="1"/>
      <c r="E35" s="1"/>
    </row>
    <row r="36" spans="1:5" x14ac:dyDescent="0.25">
      <c r="A36" s="1" t="s">
        <v>119</v>
      </c>
      <c r="B36" s="1"/>
      <c r="C36" s="1"/>
      <c r="D36" s="1"/>
      <c r="E36" s="1"/>
    </row>
    <row r="37" spans="1:5" x14ac:dyDescent="0.25">
      <c r="A37" s="1" t="s">
        <v>120</v>
      </c>
      <c r="B37" s="1"/>
      <c r="C37" s="1"/>
      <c r="D37" s="1"/>
      <c r="E37" s="1"/>
    </row>
    <row r="38" spans="1:5" x14ac:dyDescent="0.25">
      <c r="A38" s="1" t="s">
        <v>121</v>
      </c>
      <c r="B38" s="1"/>
      <c r="C38" s="1"/>
      <c r="D38" s="1"/>
      <c r="E3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Orders &amp; Payments</vt:lpstr>
      <vt:lpstr>Stock Received</vt:lpstr>
      <vt:lpstr>Stock Tracker</vt:lpstr>
      <vt:lpstr>Arrangement Tracker</vt:lpstr>
      <vt:lpstr>Losses &amp; Damages</vt:lpstr>
      <vt:lpstr>Bank &amp; MoMo</vt:lpstr>
      <vt:lpstr>Reference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wongani mkandawire</cp:lastModifiedBy>
  <dcterms:created xsi:type="dcterms:W3CDTF">2025-11-23T10:51:59Z</dcterms:created>
  <dcterms:modified xsi:type="dcterms:W3CDTF">2025-11-24T17:05:57Z</dcterms:modified>
</cp:coreProperties>
</file>